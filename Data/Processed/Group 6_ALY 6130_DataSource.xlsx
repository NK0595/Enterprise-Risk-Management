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nada Masters\Northeastern University\ALY 6130- Risk Management Analytics\"/>
    </mc:Choice>
  </mc:AlternateContent>
  <xr:revisionPtr revIDLastSave="0" documentId="13_ncr:1_{149C0FD2-94B4-48C1-AF85-4A1123857A09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I&amp;W Risk Table" sheetId="8" r:id="rId1"/>
    <sheet name=" Heatmap" sheetId="9" r:id="rId2"/>
    <sheet name="IW_Composite_Scores" sheetId="2" r:id="rId3"/>
    <sheet name="Monte_Carlo_Results" sheetId="3" r:id="rId4"/>
    <sheet name="MC_Samples_1000rows" sheetId="4" r:id="rId5"/>
    <sheet name="ML_Training_Data" sheetId="5" r:id="rId6"/>
    <sheet name="ML_Focal_Predictions" sheetId="6" r:id="rId7"/>
    <sheet name="RTRP_Module4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D4" i="9"/>
  <c r="F4" i="9"/>
  <c r="H4" i="9"/>
  <c r="B8" i="9"/>
  <c r="C8" i="9" s="1"/>
  <c r="D8" i="9"/>
  <c r="G8" i="9"/>
  <c r="H8" i="9"/>
  <c r="I8" i="9"/>
  <c r="B9" i="9"/>
  <c r="C9" i="9" s="1"/>
  <c r="D9" i="9"/>
  <c r="G9" i="9"/>
  <c r="H9" i="9"/>
  <c r="I9" i="9"/>
  <c r="B10" i="9"/>
  <c r="C10" i="9" s="1"/>
  <c r="D10" i="9"/>
  <c r="G10" i="9"/>
  <c r="H10" i="9"/>
  <c r="I10" i="9"/>
  <c r="H5" i="8"/>
  <c r="I5" i="8" s="1"/>
  <c r="H6" i="8"/>
  <c r="I6" i="8" s="1"/>
  <c r="H7" i="8"/>
  <c r="J7" i="8" s="1"/>
  <c r="H8" i="8"/>
  <c r="J8" i="8" s="1"/>
  <c r="H9" i="8"/>
  <c r="H10" i="8"/>
  <c r="I10" i="8" s="1"/>
  <c r="H11" i="8"/>
  <c r="I11" i="8"/>
  <c r="J11" i="8"/>
  <c r="H12" i="8"/>
  <c r="I12" i="8"/>
  <c r="J12" i="8"/>
  <c r="H13" i="8"/>
  <c r="I13" i="8"/>
  <c r="J13" i="8"/>
  <c r="I7" i="8" l="1"/>
  <c r="I9" i="8"/>
  <c r="J6" i="8"/>
  <c r="I8" i="8"/>
  <c r="J5" i="8"/>
  <c r="J9" i="8"/>
  <c r="J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 'Higher is Worse' indicators, values at or below this threshold classify as Low.</t>
        </r>
      </text>
    </comment>
    <comment ref="E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 'Higher is Worse' indicators, values above Low Boundary and at or below this threshold classify as Moderate.</t>
        </r>
      </text>
    </comment>
    <comment ref="F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User input cell. Change this value to test how the automatic classification updates.</t>
        </r>
      </text>
    </comment>
  </commentList>
</comments>
</file>

<file path=xl/sharedStrings.xml><?xml version="1.0" encoding="utf-8"?>
<sst xmlns="http://schemas.openxmlformats.org/spreadsheetml/2006/main" count="313" uniqueCount="120">
  <si>
    <t>Risk</t>
  </si>
  <si>
    <t>Indicator</t>
  </si>
  <si>
    <t>Unit</t>
  </si>
  <si>
    <t>Direction</t>
  </si>
  <si>
    <t>Score</t>
  </si>
  <si>
    <t>Cybersecurity Breach</t>
  </si>
  <si>
    <t>Intrusion Attempts</t>
  </si>
  <si>
    <t>Vulnerability Score</t>
  </si>
  <si>
    <t>Data Encryption</t>
  </si>
  <si>
    <t>%</t>
  </si>
  <si>
    <t>System Integration</t>
  </si>
  <si>
    <t>System Downtime</t>
  </si>
  <si>
    <t>API Response Time</t>
  </si>
  <si>
    <t>ms</t>
  </si>
  <si>
    <t>Regulatory Compliance</t>
  </si>
  <si>
    <t>Audit Findings</t>
  </si>
  <si>
    <t>Staff Training</t>
  </si>
  <si>
    <t>Data Incidents</t>
  </si>
  <si>
    <t>Mean</t>
  </si>
  <si>
    <t>Total</t>
  </si>
  <si>
    <t>Count</t>
  </si>
  <si>
    <t>Overall_Level</t>
  </si>
  <si>
    <t>Action_Priority</t>
  </si>
  <si>
    <t>High</t>
  </si>
  <si>
    <t>Immediate Action</t>
  </si>
  <si>
    <t>Mean_CAD_M</t>
  </si>
  <si>
    <t>P95_CAD_M</t>
  </si>
  <si>
    <t>P5_CAD_M</t>
  </si>
  <si>
    <t>StdDev_CAD_M</t>
  </si>
  <si>
    <t>Prob_Over_10M</t>
  </si>
  <si>
    <t>System Integration Failure</t>
  </si>
  <si>
    <t>Regulatory Non-Compliance</t>
  </si>
  <si>
    <t>likelihood</t>
  </si>
  <si>
    <t>impact</t>
  </si>
  <si>
    <t>iw_score</t>
  </si>
  <si>
    <t>True_Label</t>
  </si>
  <si>
    <t>True_Severity</t>
  </si>
  <si>
    <t>CV_Predicted</t>
  </si>
  <si>
    <t>CV_Severity</t>
  </si>
  <si>
    <t>Low</t>
  </si>
  <si>
    <t>Medium</t>
  </si>
  <si>
    <t>Severity</t>
  </si>
  <si>
    <t>Confidence</t>
  </si>
  <si>
    <t>Risk_ID</t>
  </si>
  <si>
    <t>Risk_Name</t>
  </si>
  <si>
    <t>Category</t>
  </si>
  <si>
    <t>IW_Composite_Score</t>
  </si>
  <si>
    <t>MC_Distribution</t>
  </si>
  <si>
    <t>MC_Mean_Impact</t>
  </si>
  <si>
    <t>MC_P95_Impact</t>
  </si>
  <si>
    <t>MC_StdDev</t>
  </si>
  <si>
    <t>ML_Classification</t>
  </si>
  <si>
    <t>ML_Confidence</t>
  </si>
  <si>
    <t>R-07</t>
  </si>
  <si>
    <t>Technical/Security</t>
  </si>
  <si>
    <t>Triangular</t>
  </si>
  <si>
    <t>$7.1M</t>
  </si>
  <si>
    <t>$12.8M</t>
  </si>
  <si>
    <t>$2.9M</t>
  </si>
  <si>
    <t>92%</t>
  </si>
  <si>
    <t>R-51</t>
  </si>
  <si>
    <t>Technical/Operational</t>
  </si>
  <si>
    <t>Moderate-High</t>
  </si>
  <si>
    <t>PERT</t>
  </si>
  <si>
    <t>$6.2M</t>
  </si>
  <si>
    <t>$11.7M</t>
  </si>
  <si>
    <t>$2.7M</t>
  </si>
  <si>
    <t>96%</t>
  </si>
  <si>
    <t>R-60</t>
  </si>
  <si>
    <t>Legal/Compliance</t>
  </si>
  <si>
    <t>Normal</t>
  </si>
  <si>
    <t>$4.9M</t>
  </si>
  <si>
    <t>$8.4M</t>
  </si>
  <si>
    <t>$2.1M</t>
  </si>
  <si>
    <t>89%</t>
  </si>
  <si>
    <t>Likelihood</t>
  </si>
  <si>
    <t>Impact</t>
  </si>
  <si>
    <t>Rating</t>
  </si>
  <si>
    <t>Reported incidents indicate elevated compliance and privacy risk.</t>
  </si>
  <si>
    <t>Higher is Worse</t>
  </si>
  <si>
    <t># per month</t>
  </si>
  <si>
    <t>Training coverage is below the ideal level for privacy compliance.</t>
  </si>
  <si>
    <t>Lower is Worse</t>
  </si>
  <si>
    <t>Audit findings above tolerance may trigger penalties or remediation.</t>
  </si>
  <si>
    <t># per quarter</t>
  </si>
  <si>
    <t>Slow performance can delay data exchange and clinical actions.</t>
  </si>
  <si>
    <t>Integration instability may interrupt clinical workflows.</t>
  </si>
  <si>
    <t>Error Rate</t>
  </si>
  <si>
    <t>Operational disruption may affect continuity of patient monitoring.</t>
  </si>
  <si>
    <t>Hours/month</t>
  </si>
  <si>
    <t>Encryption coverage should improve to reduce breach exposure.</t>
  </si>
  <si>
    <t>System security weaknesses remain above the acceptable threshold.</t>
  </si>
  <si>
    <t>1–10 scale</t>
  </si>
  <si>
    <t>High exposure to cyber threats and attempted unauthorized access.</t>
  </si>
  <si>
    <t># per week</t>
  </si>
  <si>
    <t>Interpretation</t>
  </si>
  <si>
    <t>Action Priority</t>
  </si>
  <si>
    <t>Risk Level</t>
  </si>
  <si>
    <t>Risk Score</t>
  </si>
  <si>
    <t>Current Value</t>
  </si>
  <si>
    <t>Moderate Boundary</t>
  </si>
  <si>
    <t>Low Boundary</t>
  </si>
  <si>
    <t>Indicators &amp; Warnings (I&amp;W) Risk Classification</t>
  </si>
  <si>
    <t>Regulatory</t>
  </si>
  <si>
    <t>Cybersecurity</t>
  </si>
  <si>
    <t>Indicator 3</t>
  </si>
  <si>
    <t>Indicator 2</t>
  </si>
  <si>
    <t>Indicator 1</t>
  </si>
  <si>
    <t>Integration</t>
  </si>
  <si>
    <t>Short Risk</t>
  </si>
  <si>
    <t>High Indicators</t>
  </si>
  <si>
    <t>Overall Level</t>
  </si>
  <si>
    <t>Average Score</t>
  </si>
  <si>
    <t>Indicator Heatmap (1 = Low, 2 = Moderate, 3 = High)</t>
  </si>
  <si>
    <t>Low Indicators</t>
  </si>
  <si>
    <t>Moderate Indicators</t>
  </si>
  <si>
    <t>Total Indicators</t>
  </si>
  <si>
    <t>The I&amp;W Risk Table sheet.</t>
  </si>
  <si>
    <t>I&amp;W Risk Heatmap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</si>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</sst>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40404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808080"/>
      <name val="Calibri"/>
      <family val="2"/>
    </font>
    <font>
      <b/>
      <sz val="11"/>
      <color rgb="FFFFFFFF"/>
      <name val="Calibri"/>
      <family val="2"/>
    </font>
    <font>
      <i/>
      <sz val="11"/>
      <color rgb="FF40404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3E5F5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1" fontId="4" fillId="3" borderId="2" xfId="0" applyNumberFormat="1" applyFont="1" applyFill="1" applyBorder="1" applyAlignment="1">
      <alignment vertical="top" wrapText="1"/>
    </xf>
    <xf numFmtId="1" fontId="5" fillId="4" borderId="2" xfId="0" applyNumberFormat="1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4" fillId="3" borderId="2" xfId="0" applyNumberFormat="1" applyFont="1" applyFill="1" applyBorder="1" applyAlignment="1">
      <alignment vertical="top" wrapText="1"/>
    </xf>
    <xf numFmtId="164" fontId="5" fillId="4" borderId="2" xfId="0" applyNumberFormat="1" applyFont="1" applyFill="1" applyBorder="1" applyAlignment="1">
      <alignment vertical="top" wrapText="1"/>
    </xf>
    <xf numFmtId="0" fontId="6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164" fontId="0" fillId="0" borderId="2" xfId="0" applyNumberFormat="1" applyBorder="1" applyAlignment="1">
      <alignment vertical="top" wrapText="1"/>
    </xf>
    <xf numFmtId="0" fontId="6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wrapText="1"/>
    </xf>
  </cellXfs>
  <cellStyles count="1">
    <cellStyle name="Normal" xfId="0" builtinId="0"/>
  </cellStyles>
  <dxfs count="12"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222250</xdr:colOff>
      <xdr:row>36</xdr:row>
      <xdr:rowOff>146050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0A6B9552-B88B-4889-80A4-B0FD3D6783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79850" cy="672973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350520</xdr:colOff>
      <xdr:row>37</xdr:row>
      <xdr:rowOff>7620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D43966E6-4D96-4F3D-AC78-6EC2201B97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008120" cy="677418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350520</xdr:colOff>
      <xdr:row>37</xdr:row>
      <xdr:rowOff>7620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D26092B-E456-4F5C-849C-64EAAABA1E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008120" cy="677418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10</xdr:row>
      <xdr:rowOff>53340</xdr:rowOff>
    </xdr:from>
    <xdr:to>
      <xdr:col>3</xdr:col>
      <xdr:colOff>922020</xdr:colOff>
      <xdr:row>17</xdr:row>
      <xdr:rowOff>137159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6895E-F37A-486A-9855-BBA2222C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2926080"/>
          <a:ext cx="4716780" cy="200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AA57-E187-4E4E-BC18-191003C0EE74}">
  <dimension ref="A1:K19"/>
  <sheetViews>
    <sheetView workbookViewId="0">
      <selection activeCell="J19" sqref="J19"/>
    </sheetView>
  </sheetViews>
  <sheetFormatPr defaultRowHeight="14.4" x14ac:dyDescent="0.3"/>
  <cols>
    <col min="1" max="1" width="24" customWidth="1"/>
    <col min="2" max="2" width="18.5546875" customWidth="1"/>
    <col min="3" max="3" width="12" customWidth="1"/>
    <col min="4" max="4" width="14" customWidth="1"/>
    <col min="5" max="5" width="18" customWidth="1"/>
    <col min="6" max="6" width="14" customWidth="1"/>
    <col min="7" max="7" width="15.109375" customWidth="1"/>
    <col min="8" max="8" width="10" customWidth="1"/>
    <col min="9" max="9" width="12" customWidth="1"/>
    <col min="10" max="10" width="16" customWidth="1"/>
    <col min="11" max="11" width="52" customWidth="1"/>
  </cols>
  <sheetData>
    <row r="1" spans="1:11" ht="19.2" customHeight="1" x14ac:dyDescent="0.3">
      <c r="A1" s="18" t="s">
        <v>102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5.65" customHeight="1" x14ac:dyDescent="0.3">
      <c r="A2" s="21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7.55" customHeight="1" x14ac:dyDescent="0.3"/>
    <row r="4" spans="1:11" ht="17.55" customHeight="1" x14ac:dyDescent="0.3">
      <c r="A4" s="11" t="s">
        <v>0</v>
      </c>
      <c r="B4" s="11" t="s">
        <v>1</v>
      </c>
      <c r="C4" s="11" t="s">
        <v>2</v>
      </c>
      <c r="D4" s="11" t="s">
        <v>101</v>
      </c>
      <c r="E4" s="11" t="s">
        <v>100</v>
      </c>
      <c r="F4" s="11" t="s">
        <v>99</v>
      </c>
      <c r="G4" s="11" t="s">
        <v>3</v>
      </c>
      <c r="H4" s="11" t="s">
        <v>98</v>
      </c>
      <c r="I4" s="11" t="s">
        <v>97</v>
      </c>
      <c r="J4" s="11" t="s">
        <v>96</v>
      </c>
      <c r="K4" s="11" t="s">
        <v>95</v>
      </c>
    </row>
    <row r="5" spans="1:11" ht="17.55" customHeight="1" x14ac:dyDescent="0.3">
      <c r="A5" s="8" t="s">
        <v>5</v>
      </c>
      <c r="B5" s="8" t="s">
        <v>6</v>
      </c>
      <c r="C5" s="8" t="s">
        <v>94</v>
      </c>
      <c r="D5" s="7">
        <v>5</v>
      </c>
      <c r="E5" s="7">
        <v>15</v>
      </c>
      <c r="F5" s="6">
        <v>18</v>
      </c>
      <c r="G5" s="5" t="s">
        <v>79</v>
      </c>
      <c r="H5" s="4">
        <f t="shared" ref="H5:H13" si="0">IF($G5="Higher is Worse",IF($F5&lt;=$D5,1,IF($F5&lt;=$E5,2,3)),IF($F5&gt;=$D5,1,IF($F5&gt;=$E5,2,3)))</f>
        <v>3</v>
      </c>
      <c r="I5" s="4" t="str">
        <f t="shared" ref="I5:I13" si="1">IF(H5=1,"Low",IF(H5=2,"Moderate","High"))</f>
        <v>High</v>
      </c>
      <c r="J5" s="4" t="str">
        <f t="shared" ref="J5:J13" si="2">CHOOSE(H5,"Monitor","Review","Immediate Action")</f>
        <v>Immediate Action</v>
      </c>
      <c r="K5" s="3" t="s">
        <v>93</v>
      </c>
    </row>
    <row r="6" spans="1:11" ht="17.55" customHeight="1" x14ac:dyDescent="0.3">
      <c r="A6" s="8" t="s">
        <v>5</v>
      </c>
      <c r="B6" s="8" t="s">
        <v>7</v>
      </c>
      <c r="C6" s="8" t="s">
        <v>92</v>
      </c>
      <c r="D6" s="7">
        <v>4</v>
      </c>
      <c r="E6" s="7">
        <v>7</v>
      </c>
      <c r="F6" s="6">
        <v>8</v>
      </c>
      <c r="G6" s="5" t="s">
        <v>79</v>
      </c>
      <c r="H6" s="4">
        <f t="shared" si="0"/>
        <v>3</v>
      </c>
      <c r="I6" s="4" t="str">
        <f t="shared" si="1"/>
        <v>High</v>
      </c>
      <c r="J6" s="4" t="str">
        <f t="shared" si="2"/>
        <v>Immediate Action</v>
      </c>
      <c r="K6" s="3" t="s">
        <v>91</v>
      </c>
    </row>
    <row r="7" spans="1:11" ht="17.55" customHeight="1" x14ac:dyDescent="0.3">
      <c r="A7" s="8" t="s">
        <v>5</v>
      </c>
      <c r="B7" s="8" t="s">
        <v>8</v>
      </c>
      <c r="C7" s="8" t="s">
        <v>9</v>
      </c>
      <c r="D7" s="10">
        <v>95</v>
      </c>
      <c r="E7" s="10">
        <v>85</v>
      </c>
      <c r="F7" s="9">
        <v>90</v>
      </c>
      <c r="G7" s="5" t="s">
        <v>82</v>
      </c>
      <c r="H7" s="4">
        <f t="shared" si="0"/>
        <v>2</v>
      </c>
      <c r="I7" s="4" t="str">
        <f t="shared" si="1"/>
        <v>Moderate</v>
      </c>
      <c r="J7" s="4" t="str">
        <f t="shared" si="2"/>
        <v>Review</v>
      </c>
      <c r="K7" s="3" t="s">
        <v>90</v>
      </c>
    </row>
    <row r="8" spans="1:11" ht="17.55" customHeight="1" x14ac:dyDescent="0.3">
      <c r="A8" s="8" t="s">
        <v>30</v>
      </c>
      <c r="B8" s="8" t="s">
        <v>11</v>
      </c>
      <c r="C8" s="8" t="s">
        <v>89</v>
      </c>
      <c r="D8" s="7">
        <v>3</v>
      </c>
      <c r="E8" s="7">
        <v>6</v>
      </c>
      <c r="F8" s="6">
        <v>7</v>
      </c>
      <c r="G8" s="5" t="s">
        <v>79</v>
      </c>
      <c r="H8" s="4">
        <f t="shared" si="0"/>
        <v>3</v>
      </c>
      <c r="I8" s="4" t="str">
        <f t="shared" si="1"/>
        <v>High</v>
      </c>
      <c r="J8" s="4" t="str">
        <f t="shared" si="2"/>
        <v>Immediate Action</v>
      </c>
      <c r="K8" s="3" t="s">
        <v>88</v>
      </c>
    </row>
    <row r="9" spans="1:11" ht="17.55" customHeight="1" x14ac:dyDescent="0.3">
      <c r="A9" s="8" t="s">
        <v>30</v>
      </c>
      <c r="B9" s="8" t="s">
        <v>87</v>
      </c>
      <c r="C9" s="8" t="s">
        <v>9</v>
      </c>
      <c r="D9" s="10">
        <v>5</v>
      </c>
      <c r="E9" s="10">
        <v>10</v>
      </c>
      <c r="F9" s="9">
        <v>12</v>
      </c>
      <c r="G9" s="5" t="s">
        <v>79</v>
      </c>
      <c r="H9" s="4">
        <f t="shared" si="0"/>
        <v>3</v>
      </c>
      <c r="I9" s="4" t="str">
        <f t="shared" si="1"/>
        <v>High</v>
      </c>
      <c r="J9" s="4" t="str">
        <f t="shared" si="2"/>
        <v>Immediate Action</v>
      </c>
      <c r="K9" s="3" t="s">
        <v>86</v>
      </c>
    </row>
    <row r="10" spans="1:11" ht="17.55" customHeight="1" x14ac:dyDescent="0.3">
      <c r="A10" s="8" t="s">
        <v>30</v>
      </c>
      <c r="B10" s="8" t="s">
        <v>12</v>
      </c>
      <c r="C10" s="8" t="s">
        <v>13</v>
      </c>
      <c r="D10" s="7">
        <v>200</v>
      </c>
      <c r="E10" s="7">
        <v>300</v>
      </c>
      <c r="F10" s="6">
        <v>320</v>
      </c>
      <c r="G10" s="5" t="s">
        <v>79</v>
      </c>
      <c r="H10" s="4">
        <f t="shared" si="0"/>
        <v>3</v>
      </c>
      <c r="I10" s="4" t="str">
        <f t="shared" si="1"/>
        <v>High</v>
      </c>
      <c r="J10" s="4" t="str">
        <f t="shared" si="2"/>
        <v>Immediate Action</v>
      </c>
      <c r="K10" s="3" t="s">
        <v>85</v>
      </c>
    </row>
    <row r="11" spans="1:11" ht="17.55" customHeight="1" x14ac:dyDescent="0.3">
      <c r="A11" s="8" t="s">
        <v>31</v>
      </c>
      <c r="B11" s="8" t="s">
        <v>15</v>
      </c>
      <c r="C11" s="8" t="s">
        <v>84</v>
      </c>
      <c r="D11" s="7">
        <v>1</v>
      </c>
      <c r="E11" s="7">
        <v>3</v>
      </c>
      <c r="F11" s="6">
        <v>4</v>
      </c>
      <c r="G11" s="5" t="s">
        <v>79</v>
      </c>
      <c r="H11" s="4">
        <f t="shared" si="0"/>
        <v>3</v>
      </c>
      <c r="I11" s="4" t="str">
        <f t="shared" si="1"/>
        <v>High</v>
      </c>
      <c r="J11" s="4" t="str">
        <f t="shared" si="2"/>
        <v>Immediate Action</v>
      </c>
      <c r="K11" s="3" t="s">
        <v>83</v>
      </c>
    </row>
    <row r="12" spans="1:11" ht="17.55" customHeight="1" x14ac:dyDescent="0.3">
      <c r="A12" s="8" t="s">
        <v>31</v>
      </c>
      <c r="B12" s="8" t="s">
        <v>16</v>
      </c>
      <c r="C12" s="8" t="s">
        <v>9</v>
      </c>
      <c r="D12" s="10">
        <v>95</v>
      </c>
      <c r="E12" s="10">
        <v>85</v>
      </c>
      <c r="F12" s="9">
        <v>88</v>
      </c>
      <c r="G12" s="5" t="s">
        <v>82</v>
      </c>
      <c r="H12" s="4">
        <f t="shared" si="0"/>
        <v>2</v>
      </c>
      <c r="I12" s="4" t="str">
        <f t="shared" si="1"/>
        <v>Moderate</v>
      </c>
      <c r="J12" s="4" t="str">
        <f t="shared" si="2"/>
        <v>Review</v>
      </c>
      <c r="K12" s="3" t="s">
        <v>81</v>
      </c>
    </row>
    <row r="13" spans="1:11" ht="17.55" customHeight="1" x14ac:dyDescent="0.3">
      <c r="A13" s="8" t="s">
        <v>31</v>
      </c>
      <c r="B13" s="8" t="s">
        <v>17</v>
      </c>
      <c r="C13" s="8" t="s">
        <v>80</v>
      </c>
      <c r="D13" s="7">
        <v>0</v>
      </c>
      <c r="E13" s="7">
        <v>2</v>
      </c>
      <c r="F13" s="6">
        <v>3</v>
      </c>
      <c r="G13" s="5" t="s">
        <v>79</v>
      </c>
      <c r="H13" s="4">
        <f t="shared" si="0"/>
        <v>3</v>
      </c>
      <c r="I13" s="4" t="str">
        <f t="shared" si="1"/>
        <v>High</v>
      </c>
      <c r="J13" s="4" t="str">
        <f t="shared" si="2"/>
        <v>Immediate Action</v>
      </c>
      <c r="K13" s="3" t="s">
        <v>78</v>
      </c>
    </row>
    <row r="14" spans="1:11" ht="17.55" customHeight="1" x14ac:dyDescent="0.3"/>
    <row r="15" spans="1:11" ht="17.55" customHeight="1" x14ac:dyDescent="0.3"/>
    <row r="16" spans="1:11" ht="17.55" customHeight="1" x14ac:dyDescent="0.3"/>
    <row r="17" customFormat="1" ht="17.55" customHeight="1" x14ac:dyDescent="0.3"/>
    <row r="18" customFormat="1" ht="17.55" customHeight="1" x14ac:dyDescent="0.3"/>
    <row r="19" customFormat="1" ht="17.55" customHeight="1" x14ac:dyDescent="0.3"/>
  </sheetData>
  <mergeCells count="2">
    <mergeCell ref="A2:K2"/>
    <mergeCell ref="A1:K1"/>
  </mergeCells>
  <conditionalFormatting sqref="H5:H13">
    <cfRule type="cellIs" dxfId="11" priority="1" operator="equal">
      <formula>1</formula>
    </cfRule>
    <cfRule type="cellIs" dxfId="10" priority="2" operator="equal">
      <formula>2</formula>
    </cfRule>
    <cfRule type="cellIs" dxfId="9" priority="3" operator="equal">
      <formula>3</formula>
    </cfRule>
  </conditionalFormatting>
  <conditionalFormatting sqref="I5:J13">
    <cfRule type="expression" dxfId="8" priority="4">
      <formula>$H5=1</formula>
    </cfRule>
    <cfRule type="expression" dxfId="7" priority="5">
      <formula>$H5=2</formula>
    </cfRule>
    <cfRule type="expression" dxfId="6" priority="6">
      <formula>$H5=3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4BC9-6FAA-4D1B-A01D-F7983210FA63}">
  <dimension ref="A1:J19"/>
  <sheetViews>
    <sheetView showGridLines="0" zoomScaleNormal="100" workbookViewId="0">
      <selection activeCell="N7" sqref="N7"/>
    </sheetView>
  </sheetViews>
  <sheetFormatPr defaultRowHeight="14.4" x14ac:dyDescent="0.3"/>
  <cols>
    <col min="1" max="1" width="28" customWidth="1"/>
    <col min="2" max="4" width="14" customWidth="1"/>
    <col min="5" max="5" width="16" hidden="1" customWidth="1"/>
    <col min="6" max="9" width="20" customWidth="1"/>
    <col min="10" max="10" width="4" customWidth="1"/>
  </cols>
  <sheetData>
    <row r="1" spans="1:10" ht="25.95" customHeight="1" x14ac:dyDescent="0.3">
      <c r="A1" s="18" t="s">
        <v>118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.05" customHeight="1" x14ac:dyDescent="0.3">
      <c r="A2" s="21" t="s">
        <v>117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22.05" customHeight="1" x14ac:dyDescent="0.3">
      <c r="B3" s="16" t="s">
        <v>116</v>
      </c>
      <c r="D3" s="16" t="s">
        <v>110</v>
      </c>
      <c r="F3" s="16" t="s">
        <v>115</v>
      </c>
      <c r="H3" s="16" t="s">
        <v>114</v>
      </c>
    </row>
    <row r="4" spans="1:10" ht="22.05" customHeight="1" x14ac:dyDescent="0.3">
      <c r="B4" s="17">
        <f>COUNTA('I&amp;W Risk Table'!$A$5:$A$13)</f>
        <v>9</v>
      </c>
      <c r="D4" s="17">
        <f>COUNTIF('I&amp;W Risk Table'!$I$5:$I$13,"High")</f>
        <v>7</v>
      </c>
      <c r="F4" s="17">
        <f>COUNTIF('I&amp;W Risk Table'!$I$5:$I$13,"Moderate")</f>
        <v>2</v>
      </c>
      <c r="H4" s="17">
        <f>COUNTIF('I&amp;W Risk Table'!$I$5:$I$13,"Low")</f>
        <v>0</v>
      </c>
    </row>
    <row r="5" spans="1:10" ht="22.05" customHeight="1" x14ac:dyDescent="0.3"/>
    <row r="6" spans="1:10" ht="22.05" customHeight="1" x14ac:dyDescent="0.3">
      <c r="D6" t="s">
        <v>119</v>
      </c>
      <c r="F6" s="20" t="s">
        <v>113</v>
      </c>
      <c r="G6" s="20"/>
      <c r="H6" s="20"/>
      <c r="I6" s="20"/>
    </row>
    <row r="7" spans="1:10" ht="22.05" customHeight="1" x14ac:dyDescent="0.3">
      <c r="A7" s="11" t="s">
        <v>0</v>
      </c>
      <c r="B7" s="11" t="s">
        <v>112</v>
      </c>
      <c r="C7" s="11" t="s">
        <v>111</v>
      </c>
      <c r="D7" s="11" t="s">
        <v>110</v>
      </c>
      <c r="E7" s="16" t="s">
        <v>109</v>
      </c>
      <c r="F7" s="16" t="s">
        <v>0</v>
      </c>
      <c r="G7" s="16" t="s">
        <v>107</v>
      </c>
      <c r="H7" s="16" t="s">
        <v>106</v>
      </c>
      <c r="I7" s="16" t="s">
        <v>105</v>
      </c>
    </row>
    <row r="8" spans="1:10" ht="22.05" customHeight="1" x14ac:dyDescent="0.3">
      <c r="A8" s="8" t="s">
        <v>5</v>
      </c>
      <c r="B8" s="15">
        <f>AVERAGEIF('I&amp;W Risk Table'!$A$5:$A$13,A8,'I&amp;W Risk Table'!$H$5:$H$13)</f>
        <v>2.6666666666666665</v>
      </c>
      <c r="C8" s="8" t="str">
        <f>IF(B8&lt;1.5,"Low",IF(B8&lt;2.5,"Moderate","High"))</f>
        <v>High</v>
      </c>
      <c r="D8" s="8">
        <f>COUNTIFS('I&amp;W Risk Table'!$A$5:$A$13,A8,'I&amp;W Risk Table'!$I$5:$I$13,"High")</f>
        <v>2</v>
      </c>
      <c r="E8" t="s">
        <v>104</v>
      </c>
      <c r="F8" t="s">
        <v>104</v>
      </c>
      <c r="G8" s="14">
        <f>'I&amp;W Risk Table'!H5</f>
        <v>3</v>
      </c>
      <c r="H8" s="14">
        <f>'I&amp;W Risk Table'!H6</f>
        <v>3</v>
      </c>
      <c r="I8" s="14">
        <f>'I&amp;W Risk Table'!H7</f>
        <v>2</v>
      </c>
    </row>
    <row r="9" spans="1:10" ht="22.05" customHeight="1" x14ac:dyDescent="0.3">
      <c r="A9" s="8" t="s">
        <v>30</v>
      </c>
      <c r="B9" s="15">
        <f>AVERAGEIF('I&amp;W Risk Table'!$A$5:$A$13,A9,'I&amp;W Risk Table'!$H$5:$H$13)</f>
        <v>3</v>
      </c>
      <c r="C9" s="8" t="str">
        <f>IF(B9&lt;1.5,"Low",IF(B9&lt;2.5,"Moderate","High"))</f>
        <v>High</v>
      </c>
      <c r="D9" s="8">
        <f>COUNTIFS('I&amp;W Risk Table'!$A$5:$A$13,A9,'I&amp;W Risk Table'!$I$5:$I$13,"High")</f>
        <v>3</v>
      </c>
      <c r="E9" t="s">
        <v>108</v>
      </c>
      <c r="F9" t="s">
        <v>10</v>
      </c>
      <c r="G9" s="14">
        <f>'I&amp;W Risk Table'!H8</f>
        <v>3</v>
      </c>
      <c r="H9" s="14">
        <f>'I&amp;W Risk Table'!H9</f>
        <v>3</v>
      </c>
      <c r="I9" s="14">
        <f>'I&amp;W Risk Table'!H10</f>
        <v>3</v>
      </c>
    </row>
    <row r="10" spans="1:10" ht="22.05" customHeight="1" x14ac:dyDescent="0.3">
      <c r="A10" s="8" t="s">
        <v>31</v>
      </c>
      <c r="B10" s="15">
        <f>AVERAGEIF('I&amp;W Risk Table'!$A$5:$A$13,A10,'I&amp;W Risk Table'!$H$5:$H$13)</f>
        <v>2.6666666666666665</v>
      </c>
      <c r="C10" s="8" t="str">
        <f>IF(B10&lt;1.5,"Low",IF(B10&lt;2.5,"Moderate","High"))</f>
        <v>High</v>
      </c>
      <c r="D10" s="8">
        <f>COUNTIFS('I&amp;W Risk Table'!$A$5:$A$13,A10,'I&amp;W Risk Table'!$I$5:$I$13,"High")</f>
        <v>2</v>
      </c>
      <c r="E10" t="s">
        <v>103</v>
      </c>
      <c r="F10" t="s">
        <v>103</v>
      </c>
      <c r="G10" s="14">
        <f>'I&amp;W Risk Table'!H11</f>
        <v>3</v>
      </c>
      <c r="H10" s="14">
        <f>'I&amp;W Risk Table'!H12</f>
        <v>2</v>
      </c>
      <c r="I10" s="14">
        <f>'I&amp;W Risk Table'!H13</f>
        <v>3</v>
      </c>
    </row>
    <row r="11" spans="1:10" ht="22.05" customHeight="1" x14ac:dyDescent="0.3"/>
    <row r="12" spans="1:10" ht="22.05" customHeight="1" x14ac:dyDescent="0.3">
      <c r="F12" s="11" t="s">
        <v>0</v>
      </c>
      <c r="G12" s="11" t="s">
        <v>107</v>
      </c>
      <c r="H12" s="11" t="s">
        <v>106</v>
      </c>
      <c r="I12" s="11" t="s">
        <v>105</v>
      </c>
    </row>
    <row r="13" spans="1:10" ht="22.05" customHeight="1" x14ac:dyDescent="0.3">
      <c r="F13" s="13" t="s">
        <v>104</v>
      </c>
      <c r="G13" s="12" t="s">
        <v>6</v>
      </c>
      <c r="H13" s="12" t="s">
        <v>7</v>
      </c>
      <c r="I13" s="12" t="s">
        <v>8</v>
      </c>
    </row>
    <row r="14" spans="1:10" ht="22.05" customHeight="1" x14ac:dyDescent="0.3">
      <c r="F14" s="13" t="s">
        <v>10</v>
      </c>
      <c r="G14" s="12" t="s">
        <v>11</v>
      </c>
      <c r="H14" s="12" t="s">
        <v>87</v>
      </c>
      <c r="I14" s="12" t="s">
        <v>12</v>
      </c>
    </row>
    <row r="15" spans="1:10" ht="22.05" customHeight="1" x14ac:dyDescent="0.3">
      <c r="F15" s="13" t="s">
        <v>103</v>
      </c>
      <c r="G15" s="12" t="s">
        <v>15</v>
      </c>
      <c r="H15" s="12" t="s">
        <v>16</v>
      </c>
      <c r="I15" s="12" t="s">
        <v>17</v>
      </c>
    </row>
    <row r="16" spans="1:10" ht="22.05" customHeight="1" x14ac:dyDescent="0.3">
      <c r="F16" s="12"/>
      <c r="G16" s="12"/>
      <c r="H16" s="12"/>
      <c r="I16" s="12"/>
    </row>
    <row r="17" customFormat="1" ht="22.05" customHeight="1" x14ac:dyDescent="0.3"/>
    <row r="18" customFormat="1" ht="22.05" customHeight="1" x14ac:dyDescent="0.3"/>
    <row r="19" customFormat="1" ht="22.05" customHeight="1" x14ac:dyDescent="0.3"/>
  </sheetData>
  <mergeCells count="3">
    <mergeCell ref="A1:J1"/>
    <mergeCell ref="F6:I6"/>
    <mergeCell ref="A2:J2"/>
  </mergeCells>
  <conditionalFormatting sqref="C8:C10">
    <cfRule type="expression" dxfId="5" priority="1">
      <formula>$B8&lt;1.5</formula>
    </cfRule>
    <cfRule type="expression" dxfId="4" priority="2">
      <formula>AND($B8&gt;=1.5,$B8&lt;2.5)</formula>
    </cfRule>
    <cfRule type="expression" dxfId="3" priority="3">
      <formula>$B8&gt;=2.5</formula>
    </cfRule>
  </conditionalFormatting>
  <conditionalFormatting sqref="G8:I10">
    <cfRule type="cellIs" dxfId="2" priority="4" operator="equal">
      <formula>1</formula>
    </cfRule>
    <cfRule type="cellIs" dxfId="1" priority="5" operator="equal">
      <formula>2</formula>
    </cfRule>
    <cfRule type="cellIs" dxfId="0" priority="6" operator="equal">
      <formula>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4" x14ac:dyDescent="0.3"/>
  <cols>
    <col min="1" max="1" width="20.88671875" customWidth="1"/>
    <col min="5" max="5" width="13.77734375" customWidth="1"/>
    <col min="6" max="6" width="17.77734375" customWidth="1"/>
  </cols>
  <sheetData>
    <row r="1" spans="1:6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 t="s">
        <v>5</v>
      </c>
      <c r="B2">
        <v>2.666666666666667</v>
      </c>
      <c r="C2">
        <v>8</v>
      </c>
      <c r="D2">
        <v>3</v>
      </c>
      <c r="E2" t="s">
        <v>23</v>
      </c>
      <c r="F2" t="s">
        <v>24</v>
      </c>
    </row>
    <row r="3" spans="1:6" x14ac:dyDescent="0.3">
      <c r="A3" t="s">
        <v>14</v>
      </c>
      <c r="B3">
        <v>2.666666666666667</v>
      </c>
      <c r="C3">
        <v>8</v>
      </c>
      <c r="D3">
        <v>3</v>
      </c>
      <c r="E3" t="s">
        <v>23</v>
      </c>
      <c r="F3" t="s">
        <v>24</v>
      </c>
    </row>
    <row r="4" spans="1:6" x14ac:dyDescent="0.3">
      <c r="A4" t="s">
        <v>10</v>
      </c>
      <c r="B4">
        <v>3</v>
      </c>
      <c r="C4">
        <v>9</v>
      </c>
      <c r="D4">
        <v>3</v>
      </c>
      <c r="E4" t="s">
        <v>23</v>
      </c>
      <c r="F4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13" sqref="E13"/>
    </sheetView>
  </sheetViews>
  <sheetFormatPr defaultRowHeight="14.4" x14ac:dyDescent="0.3"/>
  <cols>
    <col min="1" max="1" width="25" customWidth="1"/>
    <col min="2" max="2" width="14.21875" customWidth="1"/>
    <col min="3" max="3" width="15.109375" customWidth="1"/>
    <col min="4" max="4" width="14.33203125" customWidth="1"/>
    <col min="5" max="5" width="15.109375" customWidth="1"/>
    <col min="6" max="6" width="14.5546875" customWidth="1"/>
  </cols>
  <sheetData>
    <row r="1" spans="1:6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 t="s">
        <v>5</v>
      </c>
      <c r="B2" s="2">
        <v>7.78</v>
      </c>
      <c r="C2" s="2">
        <v>12.07</v>
      </c>
      <c r="D2" s="2">
        <v>4.09</v>
      </c>
      <c r="E2" s="2">
        <v>2.4</v>
      </c>
      <c r="F2" s="2">
        <v>20</v>
      </c>
    </row>
    <row r="3" spans="1:6" x14ac:dyDescent="0.3">
      <c r="A3" t="s">
        <v>30</v>
      </c>
      <c r="B3" s="2">
        <v>6.13</v>
      </c>
      <c r="C3" s="2">
        <v>9.3699999999999992</v>
      </c>
      <c r="D3" s="2">
        <v>3.29</v>
      </c>
      <c r="E3" s="2">
        <v>1.86</v>
      </c>
      <c r="F3" s="2">
        <v>2.2999999999999998</v>
      </c>
    </row>
    <row r="4" spans="1:6" x14ac:dyDescent="0.3">
      <c r="A4" t="s">
        <v>31</v>
      </c>
      <c r="B4" s="2">
        <v>4.91</v>
      </c>
      <c r="C4" s="2">
        <v>8.4</v>
      </c>
      <c r="D4" s="2">
        <v>1.4</v>
      </c>
      <c r="E4" s="2">
        <v>2.08</v>
      </c>
      <c r="F4" s="2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activeCell="C13" sqref="C13"/>
    </sheetView>
  </sheetViews>
  <sheetFormatPr defaultRowHeight="14.4" x14ac:dyDescent="0.3"/>
  <cols>
    <col min="1" max="1" width="19.88671875" customWidth="1"/>
    <col min="2" max="2" width="31.109375" customWidth="1"/>
    <col min="3" max="3" width="25.6640625" customWidth="1"/>
    <col min="4" max="4" width="14" customWidth="1"/>
  </cols>
  <sheetData>
    <row r="1" spans="1:3" x14ac:dyDescent="0.3">
      <c r="A1" s="1" t="s">
        <v>5</v>
      </c>
      <c r="B1" s="1" t="s">
        <v>30</v>
      </c>
      <c r="C1" s="1" t="s">
        <v>31</v>
      </c>
    </row>
    <row r="2" spans="1:3" x14ac:dyDescent="0.3">
      <c r="A2" s="2">
        <v>6.841174243794371</v>
      </c>
      <c r="B2" s="2">
        <v>4.7807074120583319</v>
      </c>
      <c r="C2" s="2">
        <v>5.9135610314709126</v>
      </c>
    </row>
    <row r="3" spans="1:3" x14ac:dyDescent="0.3">
      <c r="A3" s="2">
        <v>12.134290593759751</v>
      </c>
      <c r="B3" s="2">
        <v>7.8206716007997938</v>
      </c>
      <c r="C3" s="2">
        <v>8.2367607479628902</v>
      </c>
    </row>
    <row r="4" spans="1:3" x14ac:dyDescent="0.3">
      <c r="A4" s="2">
        <v>9.3829506419418376</v>
      </c>
      <c r="B4" s="2">
        <v>6.2489338958290848</v>
      </c>
      <c r="C4" s="2">
        <v>6.3536435743488848</v>
      </c>
    </row>
    <row r="5" spans="1:3" x14ac:dyDescent="0.3">
      <c r="A5" s="2">
        <v>8.3052439882366151</v>
      </c>
      <c r="B5" s="2">
        <v>5.054007799022572</v>
      </c>
      <c r="C5" s="2">
        <v>3.7035626046153838</v>
      </c>
    </row>
    <row r="6" spans="1:3" x14ac:dyDescent="0.3">
      <c r="A6" s="2">
        <v>5.3016598295758506</v>
      </c>
      <c r="B6" s="2">
        <v>6.1516690987146267</v>
      </c>
      <c r="C6" s="2">
        <v>5.1598773000155296</v>
      </c>
    </row>
    <row r="7" spans="1:3" x14ac:dyDescent="0.3">
      <c r="A7" s="2">
        <v>5.3014432562724441</v>
      </c>
      <c r="B7" s="2">
        <v>4.4181431216618998</v>
      </c>
      <c r="C7" s="2">
        <v>2.1462399343024501</v>
      </c>
    </row>
    <row r="8" spans="1:3" x14ac:dyDescent="0.3">
      <c r="A8" s="2">
        <v>4.2094404137559502</v>
      </c>
      <c r="B8" s="2">
        <v>6.5563145664014568</v>
      </c>
      <c r="C8" s="2">
        <v>2.5828278847720081</v>
      </c>
    </row>
    <row r="9" spans="1:3" x14ac:dyDescent="0.3">
      <c r="A9" s="2">
        <v>10.796109681730901</v>
      </c>
      <c r="B9" s="2">
        <v>3.1609752941323221</v>
      </c>
      <c r="C9" s="2">
        <v>6.1512581713480143</v>
      </c>
    </row>
    <row r="10" spans="1:3" x14ac:dyDescent="0.3">
      <c r="A10" s="2">
        <v>8.3233119630804815</v>
      </c>
      <c r="B10" s="2">
        <v>4.3942915187403244</v>
      </c>
      <c r="C10" s="2">
        <v>8.4148283403404829</v>
      </c>
    </row>
    <row r="11" spans="1:3" x14ac:dyDescent="0.3">
      <c r="A11" s="2">
        <v>9.1725676320393532</v>
      </c>
      <c r="B11" s="2">
        <v>8.7752611573674404</v>
      </c>
      <c r="C11" s="2">
        <v>7.1534044158596286</v>
      </c>
    </row>
    <row r="12" spans="1:3" x14ac:dyDescent="0.3">
      <c r="A12" s="2">
        <v>3.5176472414455908</v>
      </c>
      <c r="B12" s="2">
        <v>4.3698658708816227</v>
      </c>
      <c r="C12" s="2">
        <v>5.6175480468845249</v>
      </c>
    </row>
    <row r="13" spans="1:3" x14ac:dyDescent="0.3">
      <c r="A13" s="2">
        <v>12.58593525538331</v>
      </c>
      <c r="B13" s="2">
        <v>2.1824915118884829</v>
      </c>
      <c r="C13" s="2">
        <v>1.7427119161561591</v>
      </c>
    </row>
    <row r="14" spans="1:3" x14ac:dyDescent="0.3">
      <c r="A14" s="2">
        <v>10.39117916416386</v>
      </c>
      <c r="B14" s="2">
        <v>2.896855883051217</v>
      </c>
      <c r="C14" s="2">
        <v>5.1836189618151653</v>
      </c>
    </row>
    <row r="15" spans="1:3" x14ac:dyDescent="0.3">
      <c r="A15" s="2">
        <v>5.7684523337849178</v>
      </c>
      <c r="B15" s="2">
        <v>3.413583572574709</v>
      </c>
      <c r="C15" s="2">
        <v>2.7877349690328961</v>
      </c>
    </row>
    <row r="16" spans="1:3" x14ac:dyDescent="0.3">
      <c r="A16" s="2">
        <v>5.5245022896650671</v>
      </c>
      <c r="B16" s="2">
        <v>6.7158889645079931</v>
      </c>
      <c r="C16" s="2">
        <v>5.7180302721508589</v>
      </c>
    </row>
    <row r="17" spans="1:3" x14ac:dyDescent="0.3">
      <c r="A17" s="2">
        <v>5.5376110499414271</v>
      </c>
      <c r="B17" s="2">
        <v>7.9041829681061806</v>
      </c>
      <c r="C17" s="2">
        <v>2.1185761411448021</v>
      </c>
    </row>
    <row r="18" spans="1:3" x14ac:dyDescent="0.3">
      <c r="A18" s="2">
        <v>6.4123429352875423</v>
      </c>
      <c r="B18" s="2">
        <v>3.003064555108454</v>
      </c>
      <c r="C18" s="2">
        <v>5.2430665156460607</v>
      </c>
    </row>
    <row r="19" spans="1:3" x14ac:dyDescent="0.3">
      <c r="A19" s="2">
        <v>7.785439364283719</v>
      </c>
      <c r="B19" s="2">
        <v>8.8597137191923157</v>
      </c>
      <c r="C19" s="2">
        <v>3.8135888996591709</v>
      </c>
    </row>
    <row r="20" spans="1:3" x14ac:dyDescent="0.3">
      <c r="A20" s="2">
        <v>7.1869977694310103</v>
      </c>
      <c r="B20" s="2">
        <v>6.4275577492961</v>
      </c>
      <c r="C20" s="2">
        <v>5.0785272473996548</v>
      </c>
    </row>
    <row r="21" spans="1:3" x14ac:dyDescent="0.3">
      <c r="A21" s="2">
        <v>6.3277588799927678</v>
      </c>
      <c r="B21" s="2">
        <v>5.9201118496136864</v>
      </c>
      <c r="C21" s="2">
        <v>3.785852921094131</v>
      </c>
    </row>
    <row r="22" spans="1:3" x14ac:dyDescent="0.3">
      <c r="A22" s="2">
        <v>8.4029510632618951</v>
      </c>
      <c r="B22" s="2">
        <v>3.9461131962182909</v>
      </c>
      <c r="C22" s="2">
        <v>1.6130852412014911</v>
      </c>
    </row>
    <row r="23" spans="1:3" x14ac:dyDescent="0.3">
      <c r="A23" s="2">
        <v>5.1491387523880707</v>
      </c>
      <c r="B23" s="2">
        <v>6.9286353827665783</v>
      </c>
      <c r="C23" s="2">
        <v>7.0501441347331548</v>
      </c>
    </row>
    <row r="24" spans="1:3" x14ac:dyDescent="0.3">
      <c r="A24" s="2">
        <v>6.3337706331765364</v>
      </c>
      <c r="B24" s="2">
        <v>7.9745994586408173</v>
      </c>
      <c r="C24" s="2">
        <v>4.277153457483772</v>
      </c>
    </row>
    <row r="25" spans="1:3" x14ac:dyDescent="0.3">
      <c r="A25" s="2">
        <v>6.793211424575504</v>
      </c>
      <c r="B25" s="2">
        <v>8.50024490370342</v>
      </c>
      <c r="C25" s="2">
        <v>3.9910995009164218</v>
      </c>
    </row>
    <row r="26" spans="1:3" x14ac:dyDescent="0.3">
      <c r="A26" s="2">
        <v>7.3375324578917658</v>
      </c>
      <c r="B26" s="2">
        <v>5.2657827796104364</v>
      </c>
      <c r="C26" s="2">
        <v>4.607705527713037</v>
      </c>
    </row>
    <row r="27" spans="1:3" x14ac:dyDescent="0.3">
      <c r="A27" s="2">
        <v>9.8872902645096925</v>
      </c>
      <c r="B27" s="2">
        <v>8.429946759462398</v>
      </c>
      <c r="C27" s="2">
        <v>3.5218818091442801</v>
      </c>
    </row>
    <row r="28" spans="1:3" x14ac:dyDescent="0.3">
      <c r="A28" s="2">
        <v>5.6694775563785083</v>
      </c>
      <c r="B28" s="2">
        <v>4.324505434817933</v>
      </c>
      <c r="C28" s="2">
        <v>3.5176141313358071</v>
      </c>
    </row>
    <row r="29" spans="1:3" x14ac:dyDescent="0.3">
      <c r="A29" s="2">
        <v>7.7148182506463634</v>
      </c>
      <c r="B29" s="2">
        <v>5.5180342095151298</v>
      </c>
      <c r="C29" s="2">
        <v>7.9191727454494103</v>
      </c>
    </row>
    <row r="30" spans="1:3" x14ac:dyDescent="0.3">
      <c r="A30" s="2">
        <v>8.2595667979578824</v>
      </c>
      <c r="B30" s="2">
        <v>6.9548027381478361</v>
      </c>
      <c r="C30" s="2">
        <v>5.072651047898213</v>
      </c>
    </row>
    <row r="31" spans="1:3" x14ac:dyDescent="0.3">
      <c r="A31" s="2">
        <v>4.0286988794210217</v>
      </c>
      <c r="B31" s="2">
        <v>8.6950213622643115</v>
      </c>
      <c r="C31" s="2">
        <v>3.981546108743665</v>
      </c>
    </row>
    <row r="32" spans="1:3" x14ac:dyDescent="0.3">
      <c r="A32" s="2">
        <v>8.370869128045463</v>
      </c>
      <c r="B32" s="2">
        <v>4.6789430877331766</v>
      </c>
      <c r="C32" s="2">
        <v>1.413456500246618</v>
      </c>
    </row>
    <row r="33" spans="1:3" x14ac:dyDescent="0.3">
      <c r="A33" s="2">
        <v>5.4290047222064413</v>
      </c>
      <c r="B33" s="2">
        <v>4.0175247513587697</v>
      </c>
      <c r="C33" s="2">
        <v>3.8244488280508211</v>
      </c>
    </row>
    <row r="34" spans="1:3" x14ac:dyDescent="0.3">
      <c r="A34" s="2">
        <v>4.3090731447593296</v>
      </c>
      <c r="B34" s="2">
        <v>7.3540515988208863</v>
      </c>
      <c r="C34" s="2">
        <v>2.8610526692035121</v>
      </c>
    </row>
    <row r="35" spans="1:3" x14ac:dyDescent="0.3">
      <c r="A35" s="2">
        <v>12.09631509379223</v>
      </c>
      <c r="B35" s="2">
        <v>7.7627440376451338</v>
      </c>
      <c r="C35" s="2">
        <v>4.0160196260710661</v>
      </c>
    </row>
    <row r="36" spans="1:3" x14ac:dyDescent="0.3">
      <c r="A36" s="2">
        <v>12.47501345616708</v>
      </c>
      <c r="B36" s="2">
        <v>6.938439692021646</v>
      </c>
      <c r="C36" s="2">
        <v>8.0905331992428113</v>
      </c>
    </row>
    <row r="37" spans="1:3" x14ac:dyDescent="0.3">
      <c r="A37" s="2">
        <v>10.127045593174801</v>
      </c>
      <c r="B37" s="2">
        <v>3.2726460683069569</v>
      </c>
      <c r="C37" s="2">
        <v>7.9080658423532482</v>
      </c>
    </row>
    <row r="38" spans="1:3" x14ac:dyDescent="0.3">
      <c r="A38" s="2">
        <v>6.4147309903890299</v>
      </c>
      <c r="B38" s="2">
        <v>10.163874663695079</v>
      </c>
      <c r="C38" s="2">
        <v>4.3522124959758539</v>
      </c>
    </row>
    <row r="39" spans="1:3" x14ac:dyDescent="0.3">
      <c r="A39" s="2">
        <v>4.7167282322515707</v>
      </c>
      <c r="B39" s="2">
        <v>5.8812762544027528</v>
      </c>
      <c r="C39" s="2">
        <v>3.456271327450823</v>
      </c>
    </row>
    <row r="40" spans="1:3" x14ac:dyDescent="0.3">
      <c r="A40" s="2">
        <v>8.9713190416150397</v>
      </c>
      <c r="B40" s="2">
        <v>6.6693174214049638</v>
      </c>
      <c r="C40" s="2">
        <v>6.1135677792816647</v>
      </c>
    </row>
    <row r="41" spans="1:3" x14ac:dyDescent="0.3">
      <c r="A41" s="2">
        <v>7.2378453700003682</v>
      </c>
      <c r="B41" s="2">
        <v>8.688581980147994</v>
      </c>
      <c r="C41" s="2">
        <v>7.2491264496234393</v>
      </c>
    </row>
    <row r="42" spans="1:3" x14ac:dyDescent="0.3">
      <c r="A42" s="2">
        <v>4.9778505998225198</v>
      </c>
      <c r="B42" s="2">
        <v>8.949770861172869</v>
      </c>
      <c r="C42" s="2">
        <v>4.3294628249881679</v>
      </c>
    </row>
    <row r="43" spans="1:3" x14ac:dyDescent="0.3">
      <c r="A43" s="2">
        <v>7.5888289144383627</v>
      </c>
      <c r="B43" s="2">
        <v>9.3897455003292709</v>
      </c>
      <c r="C43" s="2">
        <v>9.1436850168005464</v>
      </c>
    </row>
    <row r="44" spans="1:3" x14ac:dyDescent="0.3">
      <c r="A44" s="2">
        <v>3.8153275247278291</v>
      </c>
      <c r="B44" s="2">
        <v>4.7006452982868332</v>
      </c>
      <c r="C44" s="2">
        <v>3.7650612271675148</v>
      </c>
    </row>
    <row r="45" spans="1:3" x14ac:dyDescent="0.3">
      <c r="A45" s="2">
        <v>11.39802933847996</v>
      </c>
      <c r="B45" s="2">
        <v>9.1531515478823184</v>
      </c>
      <c r="C45" s="2">
        <v>4.1493808897594757</v>
      </c>
    </row>
    <row r="46" spans="1:3" x14ac:dyDescent="0.3">
      <c r="A46" s="2">
        <v>6.1082157466394449</v>
      </c>
      <c r="B46" s="2">
        <v>6.7223231775195718</v>
      </c>
      <c r="C46" s="2">
        <v>4.5693124076740368</v>
      </c>
    </row>
    <row r="47" spans="1:3" x14ac:dyDescent="0.3">
      <c r="A47" s="2">
        <v>8.7945563900238284</v>
      </c>
      <c r="B47" s="2">
        <v>5.1170021432277526</v>
      </c>
      <c r="C47" s="2">
        <v>4.1918663364812314</v>
      </c>
    </row>
    <row r="48" spans="1:3" x14ac:dyDescent="0.3">
      <c r="A48" s="2">
        <v>6.4600737667445367</v>
      </c>
      <c r="B48" s="2">
        <v>5.3233292906678198</v>
      </c>
      <c r="C48" s="2">
        <v>2.485486054750683</v>
      </c>
    </row>
    <row r="49" spans="1:3" x14ac:dyDescent="0.3">
      <c r="A49" s="2">
        <v>7.7538763022708652</v>
      </c>
      <c r="B49" s="2">
        <v>6.3850846022860672</v>
      </c>
      <c r="C49" s="2">
        <v>6.5230865275399674</v>
      </c>
    </row>
    <row r="50" spans="1:3" x14ac:dyDescent="0.3">
      <c r="A50" s="2">
        <v>7.9353512457234414</v>
      </c>
      <c r="B50" s="2">
        <v>6.1367654137828076</v>
      </c>
      <c r="C50" s="2">
        <v>4.2988594815489503</v>
      </c>
    </row>
    <row r="51" spans="1:3" x14ac:dyDescent="0.3">
      <c r="A51" s="2">
        <v>5.5495946710160133</v>
      </c>
      <c r="B51" s="2">
        <v>7.4095949672162273</v>
      </c>
      <c r="C51" s="2">
        <v>9.4223620597428344</v>
      </c>
    </row>
    <row r="52" spans="1:3" x14ac:dyDescent="0.3">
      <c r="A52" s="2">
        <v>12.57723602204617</v>
      </c>
      <c r="B52" s="2">
        <v>6.2228273093476423</v>
      </c>
      <c r="C52" s="2">
        <v>6.5225991090853981</v>
      </c>
    </row>
    <row r="53" spans="1:3" x14ac:dyDescent="0.3">
      <c r="A53" s="2">
        <v>9.787631004392912</v>
      </c>
      <c r="B53" s="2">
        <v>4.7966738303752852</v>
      </c>
      <c r="C53" s="2">
        <v>5.580510862015748</v>
      </c>
    </row>
    <row r="54" spans="1:3" x14ac:dyDescent="0.3">
      <c r="A54" s="2">
        <v>11.911292583274889</v>
      </c>
      <c r="B54" s="2">
        <v>8.7320873659667431</v>
      </c>
      <c r="C54" s="2">
        <v>8.9599797453268426</v>
      </c>
    </row>
    <row r="55" spans="1:3" x14ac:dyDescent="0.3">
      <c r="A55" s="2">
        <v>11.18241023331962</v>
      </c>
      <c r="B55" s="2">
        <v>9.835028028963869</v>
      </c>
      <c r="C55" s="2">
        <v>6.4083645540918344</v>
      </c>
    </row>
    <row r="56" spans="1:3" x14ac:dyDescent="0.3">
      <c r="A56" s="2">
        <v>8.2996762940889219</v>
      </c>
      <c r="B56" s="2">
        <v>5.8472947922465952</v>
      </c>
      <c r="C56" s="2">
        <v>6.3366770540977431</v>
      </c>
    </row>
    <row r="57" spans="1:3" x14ac:dyDescent="0.3">
      <c r="A57" s="2">
        <v>11.59920613433157</v>
      </c>
      <c r="B57" s="2">
        <v>6.5821332482772803</v>
      </c>
      <c r="C57" s="2">
        <v>3.4989051807139129</v>
      </c>
    </row>
    <row r="58" spans="1:3" x14ac:dyDescent="0.3">
      <c r="A58" s="2">
        <v>4.609989994818001</v>
      </c>
      <c r="B58" s="2">
        <v>7.2823710898715506</v>
      </c>
      <c r="C58" s="2">
        <v>4.3985190275352579</v>
      </c>
    </row>
    <row r="59" spans="1:3" x14ac:dyDescent="0.3">
      <c r="A59" s="2">
        <v>5.640047421346881</v>
      </c>
      <c r="B59" s="2">
        <v>8.2085064587795156</v>
      </c>
      <c r="C59" s="2">
        <v>6.9923988119037652</v>
      </c>
    </row>
    <row r="60" spans="1:3" x14ac:dyDescent="0.3">
      <c r="A60" s="2">
        <v>4.0084379022979926</v>
      </c>
      <c r="B60" s="2">
        <v>11.122839108786589</v>
      </c>
      <c r="C60" s="2">
        <v>6.6029316084819136</v>
      </c>
    </row>
    <row r="61" spans="1:3" x14ac:dyDescent="0.3">
      <c r="A61" s="2">
        <v>6.5456605073460912</v>
      </c>
      <c r="B61" s="2">
        <v>6.4470980019764719</v>
      </c>
      <c r="C61" s="2">
        <v>3.636060729413547</v>
      </c>
    </row>
    <row r="62" spans="1:3" x14ac:dyDescent="0.3">
      <c r="A62" s="2">
        <v>6.9248147612115991</v>
      </c>
      <c r="B62" s="2">
        <v>3.049243839043231</v>
      </c>
      <c r="C62" s="2">
        <v>9.8067393562771805</v>
      </c>
    </row>
    <row r="63" spans="1:3" x14ac:dyDescent="0.3">
      <c r="A63" s="2">
        <v>6.194803078452856</v>
      </c>
      <c r="B63" s="2">
        <v>8.6899180681042285</v>
      </c>
      <c r="C63" s="2">
        <v>4.4708402812305081</v>
      </c>
    </row>
    <row r="64" spans="1:3" x14ac:dyDescent="0.3">
      <c r="A64" s="2">
        <v>10.349297926659871</v>
      </c>
      <c r="B64" s="2">
        <v>3.713794462768393</v>
      </c>
      <c r="C64" s="2">
        <v>7.3604272084374029</v>
      </c>
    </row>
    <row r="65" spans="1:3" x14ac:dyDescent="0.3">
      <c r="A65" s="2">
        <v>6.7365386656980339</v>
      </c>
      <c r="B65" s="2">
        <v>6.0453081792864793</v>
      </c>
      <c r="C65" s="2">
        <v>5.4492050710101134</v>
      </c>
    </row>
    <row r="66" spans="1:3" x14ac:dyDescent="0.3">
      <c r="A66" s="2">
        <v>6.2594966660940301</v>
      </c>
      <c r="B66" s="2">
        <v>5.5263885427394399</v>
      </c>
      <c r="C66" s="2">
        <v>5.8575914170822356</v>
      </c>
    </row>
    <row r="67" spans="1:3" x14ac:dyDescent="0.3">
      <c r="A67" s="2">
        <v>7.9076734731771232</v>
      </c>
      <c r="B67" s="2">
        <v>5.0086285620525439</v>
      </c>
      <c r="C67" s="2">
        <v>4.1867489726503404</v>
      </c>
    </row>
    <row r="68" spans="1:3" x14ac:dyDescent="0.3">
      <c r="A68" s="2">
        <v>5.1626861922653049</v>
      </c>
      <c r="B68" s="2">
        <v>4.7518945826566306</v>
      </c>
      <c r="C68" s="2">
        <v>5.3249923030516451</v>
      </c>
    </row>
    <row r="69" spans="1:3" x14ac:dyDescent="0.3">
      <c r="A69" s="2">
        <v>10.06166876551487</v>
      </c>
      <c r="B69" s="2">
        <v>6.5768761576031318</v>
      </c>
      <c r="C69" s="2">
        <v>1.6472094497411121</v>
      </c>
    </row>
    <row r="70" spans="1:3" x14ac:dyDescent="0.3">
      <c r="A70" s="2">
        <v>4.4366576578035861</v>
      </c>
      <c r="B70" s="2">
        <v>9.8397021973209622</v>
      </c>
      <c r="C70" s="2">
        <v>7.2185731953264556</v>
      </c>
    </row>
    <row r="71" spans="1:3" x14ac:dyDescent="0.3">
      <c r="A71" s="2">
        <v>13.13448180253587</v>
      </c>
      <c r="B71" s="2">
        <v>7.869353053110963</v>
      </c>
      <c r="C71" s="2">
        <v>6.4792614736304559</v>
      </c>
    </row>
    <row r="72" spans="1:3" x14ac:dyDescent="0.3">
      <c r="A72" s="2">
        <v>9.7593865430218543</v>
      </c>
      <c r="B72" s="2">
        <v>3.8683528974095118</v>
      </c>
      <c r="C72" s="2">
        <v>8.8126483150980732</v>
      </c>
    </row>
    <row r="73" spans="1:3" x14ac:dyDescent="0.3">
      <c r="A73" s="2">
        <v>5.6618643136580378</v>
      </c>
      <c r="B73" s="2">
        <v>5.648355910699598</v>
      </c>
      <c r="C73" s="2">
        <v>5.0610180586397444</v>
      </c>
    </row>
    <row r="74" spans="1:3" x14ac:dyDescent="0.3">
      <c r="A74" s="2">
        <v>3.027084160726194</v>
      </c>
      <c r="B74" s="2">
        <v>5.7116728281161384</v>
      </c>
      <c r="C74" s="2">
        <v>2.8122966574619221</v>
      </c>
    </row>
    <row r="75" spans="1:3" x14ac:dyDescent="0.3">
      <c r="A75" s="2">
        <v>10.20283231220149</v>
      </c>
      <c r="B75" s="2">
        <v>3.4875474991859789</v>
      </c>
      <c r="C75" s="2">
        <v>8.0426808581078824</v>
      </c>
    </row>
    <row r="76" spans="1:3" x14ac:dyDescent="0.3">
      <c r="A76" s="2">
        <v>9.1621144147893432</v>
      </c>
      <c r="B76" s="2">
        <v>4.4665818511567306</v>
      </c>
      <c r="C76" s="2">
        <v>4.3458933838333422</v>
      </c>
    </row>
    <row r="77" spans="1:3" x14ac:dyDescent="0.3">
      <c r="A77" s="2">
        <v>9.3561833859020496</v>
      </c>
      <c r="B77" s="2">
        <v>9.9868625503366815</v>
      </c>
      <c r="C77" s="2">
        <v>0</v>
      </c>
    </row>
    <row r="78" spans="1:3" x14ac:dyDescent="0.3">
      <c r="A78" s="2">
        <v>9.7498973737754291</v>
      </c>
      <c r="B78" s="2">
        <v>10.656113725607479</v>
      </c>
      <c r="C78" s="2">
        <v>5.9532443170403653</v>
      </c>
    </row>
    <row r="79" spans="1:3" x14ac:dyDescent="0.3">
      <c r="A79" s="2">
        <v>4.4300742029108848</v>
      </c>
      <c r="B79" s="2">
        <v>5.5100919443234986</v>
      </c>
      <c r="C79" s="2">
        <v>6.8675385690784081</v>
      </c>
    </row>
    <row r="80" spans="1:3" x14ac:dyDescent="0.3">
      <c r="A80" s="2">
        <v>6.7466941028360354</v>
      </c>
      <c r="B80" s="2">
        <v>5.2654013767785246</v>
      </c>
      <c r="C80" s="2">
        <v>7.4616132034366416</v>
      </c>
    </row>
    <row r="81" spans="1:3" x14ac:dyDescent="0.3">
      <c r="A81" s="2">
        <v>4.914409324184545</v>
      </c>
      <c r="B81" s="2">
        <v>6.7736969403389882</v>
      </c>
      <c r="C81" s="2">
        <v>3.0069266793960918</v>
      </c>
    </row>
    <row r="82" spans="1:3" x14ac:dyDescent="0.3">
      <c r="A82" s="2">
        <v>10.757253220509661</v>
      </c>
      <c r="B82" s="2">
        <v>5.5977215556963298</v>
      </c>
      <c r="C82" s="2">
        <v>5.9716212283091066</v>
      </c>
    </row>
    <row r="83" spans="1:3" x14ac:dyDescent="0.3">
      <c r="A83" s="2">
        <v>8.4890589059884327</v>
      </c>
      <c r="B83" s="2">
        <v>5.5692649989123453</v>
      </c>
      <c r="C83" s="2">
        <v>6.1179804151142392</v>
      </c>
    </row>
    <row r="84" spans="1:3" x14ac:dyDescent="0.3">
      <c r="A84" s="2">
        <v>6.5801323054941223</v>
      </c>
      <c r="B84" s="2">
        <v>6.2527792964322257</v>
      </c>
      <c r="C84" s="2">
        <v>6.1963192526366093</v>
      </c>
    </row>
    <row r="85" spans="1:3" x14ac:dyDescent="0.3">
      <c r="A85" s="2">
        <v>4.2881891966147903</v>
      </c>
      <c r="B85" s="2">
        <v>5.2127075022301934</v>
      </c>
      <c r="C85" s="2">
        <v>3.6413028788198769</v>
      </c>
    </row>
    <row r="86" spans="1:3" x14ac:dyDescent="0.3">
      <c r="A86" s="2">
        <v>6.4554418976285017</v>
      </c>
      <c r="B86" s="2">
        <v>5.143981898216742</v>
      </c>
      <c r="C86" s="2">
        <v>5.646135757911531</v>
      </c>
    </row>
    <row r="87" spans="1:3" x14ac:dyDescent="0.3">
      <c r="A87" s="2">
        <v>6.544746337060662</v>
      </c>
      <c r="B87" s="2">
        <v>6.8842507553482299</v>
      </c>
      <c r="C87" s="2">
        <v>7.2492719988434384</v>
      </c>
    </row>
    <row r="88" spans="1:3" x14ac:dyDescent="0.3">
      <c r="A88" s="2">
        <v>9.3615398028411541</v>
      </c>
      <c r="B88" s="2">
        <v>4.134978964915013</v>
      </c>
      <c r="C88" s="2">
        <v>0.9526812096801871</v>
      </c>
    </row>
    <row r="89" spans="1:3" x14ac:dyDescent="0.3">
      <c r="A89" s="2">
        <v>8.5981901022914329</v>
      </c>
      <c r="B89" s="2">
        <v>3.1762365355031279</v>
      </c>
      <c r="C89" s="2">
        <v>4.8710094090339986</v>
      </c>
    </row>
    <row r="90" spans="1:3" x14ac:dyDescent="0.3">
      <c r="A90" s="2">
        <v>11.07508068140285</v>
      </c>
      <c r="B90" s="2">
        <v>7.7441109724148554</v>
      </c>
      <c r="C90" s="2">
        <v>7.0049371061557482</v>
      </c>
    </row>
    <row r="91" spans="1:3" x14ac:dyDescent="0.3">
      <c r="A91" s="2">
        <v>7.4401455800085143</v>
      </c>
      <c r="B91" s="2">
        <v>6.6962247626207576</v>
      </c>
      <c r="C91" s="2">
        <v>8.2875774981563843</v>
      </c>
    </row>
    <row r="92" spans="1:3" x14ac:dyDescent="0.3">
      <c r="A92" s="2">
        <v>4.952913882132016</v>
      </c>
      <c r="B92" s="2">
        <v>3.487564184836176</v>
      </c>
      <c r="C92" s="2">
        <v>8.1537213875325705</v>
      </c>
    </row>
    <row r="93" spans="1:3" x14ac:dyDescent="0.3">
      <c r="A93" s="2">
        <v>9.2173033082242419</v>
      </c>
      <c r="B93" s="2">
        <v>7.3356571433157223</v>
      </c>
      <c r="C93" s="2">
        <v>6.8838489151557933</v>
      </c>
    </row>
    <row r="94" spans="1:3" x14ac:dyDescent="0.3">
      <c r="A94" s="2">
        <v>9.6490407065379031</v>
      </c>
      <c r="B94" s="2">
        <v>9.0608035365939799</v>
      </c>
      <c r="C94" s="2">
        <v>8.8218264562770585</v>
      </c>
    </row>
    <row r="95" spans="1:3" x14ac:dyDescent="0.3">
      <c r="A95" s="2">
        <v>8.0368335869917473</v>
      </c>
      <c r="B95" s="2">
        <v>2.7080459059144961</v>
      </c>
      <c r="C95" s="2">
        <v>6.9494512150954826</v>
      </c>
    </row>
    <row r="96" spans="1:3" x14ac:dyDescent="0.3">
      <c r="A96" s="2">
        <v>9.7469491851614674</v>
      </c>
      <c r="B96" s="2">
        <v>6.1225949118469876</v>
      </c>
      <c r="C96" s="2">
        <v>1.7380245984628399E-2</v>
      </c>
    </row>
    <row r="97" spans="1:3" x14ac:dyDescent="0.3">
      <c r="A97" s="2">
        <v>7.5797902399719197</v>
      </c>
      <c r="B97" s="2">
        <v>4.2081957985404861</v>
      </c>
      <c r="C97" s="2">
        <v>3.9557523745495828</v>
      </c>
    </row>
    <row r="98" spans="1:3" x14ac:dyDescent="0.3">
      <c r="A98" s="2">
        <v>7.771797169339866</v>
      </c>
      <c r="B98" s="2">
        <v>6.2192046847351028</v>
      </c>
      <c r="C98" s="2">
        <v>7.8961986746401198</v>
      </c>
    </row>
    <row r="99" spans="1:3" x14ac:dyDescent="0.3">
      <c r="A99" s="2">
        <v>7.1598651553740273</v>
      </c>
      <c r="B99" s="2">
        <v>8.0092218321914768</v>
      </c>
      <c r="C99" s="2">
        <v>3.8297445908573788</v>
      </c>
    </row>
    <row r="100" spans="1:3" x14ac:dyDescent="0.3">
      <c r="A100" s="2">
        <v>3.6308564305407778</v>
      </c>
      <c r="B100" s="2">
        <v>5.8664542574137979</v>
      </c>
      <c r="C100" s="2">
        <v>7.6292108187919636</v>
      </c>
    </row>
    <row r="101" spans="1:3" x14ac:dyDescent="0.3">
      <c r="A101" s="2">
        <v>4.8298106558330316</v>
      </c>
      <c r="B101" s="2">
        <v>4.1922258488956663</v>
      </c>
      <c r="C101" s="2">
        <v>6.5252375605998001</v>
      </c>
    </row>
    <row r="102" spans="1:3" x14ac:dyDescent="0.3">
      <c r="A102" s="2">
        <v>3.7574586799969221</v>
      </c>
      <c r="B102" s="2">
        <v>8.58908096470409</v>
      </c>
      <c r="C102" s="2">
        <v>8.8545894631725268</v>
      </c>
    </row>
    <row r="103" spans="1:3" x14ac:dyDescent="0.3">
      <c r="A103" s="2">
        <v>8.589332785418307</v>
      </c>
      <c r="B103" s="2">
        <v>6.6999560943285301</v>
      </c>
      <c r="C103" s="2">
        <v>3.991537428965672</v>
      </c>
    </row>
    <row r="104" spans="1:3" x14ac:dyDescent="0.3">
      <c r="A104" s="2">
        <v>6.4768391227141686</v>
      </c>
      <c r="B104" s="2">
        <v>4.9461569461975783</v>
      </c>
      <c r="C104" s="2">
        <v>1.044663241315396</v>
      </c>
    </row>
    <row r="105" spans="1:3" x14ac:dyDescent="0.3">
      <c r="A105" s="2">
        <v>7.6771210681969544</v>
      </c>
      <c r="B105" s="2">
        <v>6.178017556782387</v>
      </c>
      <c r="C105" s="2">
        <v>4.4558854287264111</v>
      </c>
    </row>
    <row r="106" spans="1:3" x14ac:dyDescent="0.3">
      <c r="A106" s="2">
        <v>11.37106120824807</v>
      </c>
      <c r="B106" s="2">
        <v>8.3884694962541371</v>
      </c>
      <c r="C106" s="2">
        <v>1.9108021991031769</v>
      </c>
    </row>
    <row r="107" spans="1:3" x14ac:dyDescent="0.3">
      <c r="A107" s="2">
        <v>6.04145338081414</v>
      </c>
      <c r="B107" s="2">
        <v>3.4447068252890372</v>
      </c>
      <c r="C107" s="2">
        <v>3.9309246744071209</v>
      </c>
    </row>
    <row r="108" spans="1:3" x14ac:dyDescent="0.3">
      <c r="A108" s="2">
        <v>7.0551384531556396</v>
      </c>
      <c r="B108" s="2">
        <v>8.4867370965361992</v>
      </c>
      <c r="C108" s="2">
        <v>0</v>
      </c>
    </row>
    <row r="109" spans="1:3" x14ac:dyDescent="0.3">
      <c r="A109" s="2">
        <v>9.599523674124292</v>
      </c>
      <c r="B109" s="2">
        <v>6.7349751184814721</v>
      </c>
      <c r="C109" s="2">
        <v>4.9358173613331919</v>
      </c>
    </row>
    <row r="110" spans="1:3" x14ac:dyDescent="0.3">
      <c r="A110" s="2">
        <v>5.8927622530739647</v>
      </c>
      <c r="B110" s="2">
        <v>2.1594226174330799</v>
      </c>
      <c r="C110" s="2">
        <v>5.8108422988496216</v>
      </c>
    </row>
    <row r="111" spans="1:3" x14ac:dyDescent="0.3">
      <c r="A111" s="2">
        <v>4.4679581457659552</v>
      </c>
      <c r="B111" s="2">
        <v>4.4330356022588484</v>
      </c>
      <c r="C111" s="2">
        <v>5.9318479499803631</v>
      </c>
    </row>
    <row r="112" spans="1:3" x14ac:dyDescent="0.3">
      <c r="A112" s="2">
        <v>6.3180355676828981</v>
      </c>
      <c r="B112" s="2">
        <v>8.0324853061716706</v>
      </c>
      <c r="C112" s="2">
        <v>6.9775590644880463</v>
      </c>
    </row>
    <row r="113" spans="1:3" x14ac:dyDescent="0.3">
      <c r="A113" s="2">
        <v>5.3479892839947558</v>
      </c>
      <c r="B113" s="2">
        <v>7.8593459378936172</v>
      </c>
      <c r="C113" s="2">
        <v>5.5763921770164728</v>
      </c>
    </row>
    <row r="114" spans="1:3" x14ac:dyDescent="0.3">
      <c r="A114" s="2">
        <v>11.732860510595311</v>
      </c>
      <c r="B114" s="2">
        <v>8.6275533377419489</v>
      </c>
      <c r="C114" s="2">
        <v>3.5420456653970089</v>
      </c>
    </row>
    <row r="115" spans="1:3" x14ac:dyDescent="0.3">
      <c r="A115" s="2">
        <v>10.124102854914909</v>
      </c>
      <c r="B115" s="2">
        <v>5.2759252959291842</v>
      </c>
      <c r="C115" s="2">
        <v>7.5314209981793896</v>
      </c>
    </row>
    <row r="116" spans="1:3" x14ac:dyDescent="0.3">
      <c r="A116" s="2">
        <v>8.566182221501343</v>
      </c>
      <c r="B116" s="2">
        <v>9.3668609577758595</v>
      </c>
      <c r="C116" s="2">
        <v>6.3971804418205807</v>
      </c>
    </row>
    <row r="117" spans="1:3" x14ac:dyDescent="0.3">
      <c r="A117" s="2">
        <v>10.863993090302809</v>
      </c>
      <c r="B117" s="2">
        <v>9.9120516985088543</v>
      </c>
      <c r="C117" s="2">
        <v>4.7622913207627304</v>
      </c>
    </row>
    <row r="118" spans="1:3" x14ac:dyDescent="0.3">
      <c r="A118" s="2">
        <v>10.07712823603806</v>
      </c>
      <c r="B118" s="2">
        <v>8.6012669598903013</v>
      </c>
      <c r="C118" s="2">
        <v>4.6734679373411154</v>
      </c>
    </row>
    <row r="119" spans="1:3" x14ac:dyDescent="0.3">
      <c r="A119" s="2">
        <v>5.5637133780033121</v>
      </c>
      <c r="B119" s="2">
        <v>8.4099615605131763</v>
      </c>
      <c r="C119" s="2">
        <v>3.5947256590214769</v>
      </c>
    </row>
    <row r="120" spans="1:3" x14ac:dyDescent="0.3">
      <c r="A120" s="2">
        <v>11.15004231000859</v>
      </c>
      <c r="B120" s="2">
        <v>3.6869764098091768</v>
      </c>
      <c r="C120" s="2">
        <v>7.6166847790827577</v>
      </c>
    </row>
    <row r="121" spans="1:3" x14ac:dyDescent="0.3">
      <c r="A121" s="2">
        <v>7.8846418395357052</v>
      </c>
      <c r="B121" s="2">
        <v>8.6400781368543527</v>
      </c>
      <c r="C121" s="2">
        <v>4.9798090560825354</v>
      </c>
    </row>
    <row r="122" spans="1:3" x14ac:dyDescent="0.3">
      <c r="A122" s="2">
        <v>10.116884600467991</v>
      </c>
      <c r="B122" s="2">
        <v>5.8808688466763606</v>
      </c>
      <c r="C122" s="2">
        <v>6.7554790228479016</v>
      </c>
    </row>
    <row r="123" spans="1:3" x14ac:dyDescent="0.3">
      <c r="A123" s="2">
        <v>11.20059751740051</v>
      </c>
      <c r="B123" s="2">
        <v>6.4863464354386826</v>
      </c>
      <c r="C123" s="2">
        <v>0.70518939545959114</v>
      </c>
    </row>
    <row r="124" spans="1:3" x14ac:dyDescent="0.3">
      <c r="A124" s="2">
        <v>6.4998443502009513</v>
      </c>
      <c r="B124" s="2">
        <v>6.4419396783826599</v>
      </c>
      <c r="C124" s="2">
        <v>5.2087865860861244</v>
      </c>
    </row>
    <row r="125" spans="1:3" x14ac:dyDescent="0.3">
      <c r="A125" s="2">
        <v>4.8530219554835048</v>
      </c>
      <c r="B125" s="2">
        <v>3.5916404595454119</v>
      </c>
      <c r="C125" s="2">
        <v>5.5003292192767486</v>
      </c>
    </row>
    <row r="126" spans="1:3" x14ac:dyDescent="0.3">
      <c r="A126" s="2">
        <v>5.8863576343152362</v>
      </c>
      <c r="B126" s="2">
        <v>4.2220474559787942</v>
      </c>
      <c r="C126" s="2">
        <v>2.4480398689679119</v>
      </c>
    </row>
    <row r="127" spans="1:3" x14ac:dyDescent="0.3">
      <c r="A127" s="2">
        <v>7.1572017165945514</v>
      </c>
      <c r="B127" s="2">
        <v>8.8166357306537826</v>
      </c>
      <c r="C127" s="2">
        <v>3.343608261406485</v>
      </c>
    </row>
    <row r="128" spans="1:3" x14ac:dyDescent="0.3">
      <c r="A128" s="2">
        <v>10.230581709314251</v>
      </c>
      <c r="B128" s="2">
        <v>3.4135380302863441</v>
      </c>
      <c r="C128" s="2">
        <v>6.4807904832744203</v>
      </c>
    </row>
    <row r="129" spans="1:3" x14ac:dyDescent="0.3">
      <c r="A129" s="2">
        <v>10.72754465807467</v>
      </c>
      <c r="B129" s="2">
        <v>8.2918091769288083</v>
      </c>
      <c r="C129" s="2">
        <v>6.1722245685043351</v>
      </c>
    </row>
    <row r="130" spans="1:3" x14ac:dyDescent="0.3">
      <c r="A130" s="2">
        <v>3.0914065327878988</v>
      </c>
      <c r="B130" s="2">
        <v>6.8930938605086123</v>
      </c>
      <c r="C130" s="2">
        <v>5.5291469908181181</v>
      </c>
    </row>
    <row r="131" spans="1:3" x14ac:dyDescent="0.3">
      <c r="A131" s="2">
        <v>7.6915824855165944</v>
      </c>
      <c r="B131" s="2">
        <v>4.6951607493550496</v>
      </c>
      <c r="C131" s="2">
        <v>7.6351128922867284</v>
      </c>
    </row>
    <row r="132" spans="1:3" x14ac:dyDescent="0.3">
      <c r="A132" s="2">
        <v>7.0978485409434748</v>
      </c>
      <c r="B132" s="2">
        <v>7.1616742736952226</v>
      </c>
      <c r="C132" s="2">
        <v>6.1064369984227804</v>
      </c>
    </row>
    <row r="133" spans="1:3" x14ac:dyDescent="0.3">
      <c r="A133" s="2">
        <v>5.8427898445433923</v>
      </c>
      <c r="B133" s="2">
        <v>4.7069477692765256</v>
      </c>
      <c r="C133" s="2">
        <v>7.8516130979070207</v>
      </c>
    </row>
    <row r="134" spans="1:3" x14ac:dyDescent="0.3">
      <c r="A134" s="2">
        <v>4.9556926987222116</v>
      </c>
      <c r="B134" s="2">
        <v>4.8007046553250916</v>
      </c>
      <c r="C134" s="2">
        <v>2.998995383851164</v>
      </c>
    </row>
    <row r="135" spans="1:3" x14ac:dyDescent="0.3">
      <c r="A135" s="2">
        <v>6.6213370734892001</v>
      </c>
      <c r="B135" s="2">
        <v>6.2650423103123138</v>
      </c>
      <c r="C135" s="2">
        <v>5.4041809355410297</v>
      </c>
    </row>
    <row r="136" spans="1:3" x14ac:dyDescent="0.3">
      <c r="A136" s="2">
        <v>11.976741617523031</v>
      </c>
      <c r="B136" s="2">
        <v>5.9815127181223362</v>
      </c>
      <c r="C136" s="2">
        <v>5.1061780726971229</v>
      </c>
    </row>
    <row r="137" spans="1:3" x14ac:dyDescent="0.3">
      <c r="A137" s="2">
        <v>6.5324111285884774</v>
      </c>
      <c r="B137" s="2">
        <v>6.1072054540053831</v>
      </c>
      <c r="C137" s="2">
        <v>2.3542628137235821</v>
      </c>
    </row>
    <row r="138" spans="1:3" x14ac:dyDescent="0.3">
      <c r="A138" s="2">
        <v>7.745303417707432</v>
      </c>
      <c r="B138" s="2">
        <v>6.9910063942498368</v>
      </c>
      <c r="C138" s="2">
        <v>8.6297963842320602</v>
      </c>
    </row>
    <row r="139" spans="1:3" x14ac:dyDescent="0.3">
      <c r="A139" s="2">
        <v>9.1292388600077494</v>
      </c>
      <c r="B139" s="2">
        <v>6.5507100540706844</v>
      </c>
      <c r="C139" s="2">
        <v>3.9408663781901909</v>
      </c>
    </row>
    <row r="140" spans="1:3" x14ac:dyDescent="0.3">
      <c r="A140" s="2">
        <v>6.7771725819403494</v>
      </c>
      <c r="B140" s="2">
        <v>5.66365412522482</v>
      </c>
      <c r="C140" s="2">
        <v>5.7214539702768192</v>
      </c>
    </row>
    <row r="141" spans="1:3" x14ac:dyDescent="0.3">
      <c r="A141" s="2">
        <v>12.636955765814919</v>
      </c>
      <c r="B141" s="2">
        <v>6.1649160434086889</v>
      </c>
      <c r="C141" s="2">
        <v>3.8751457781970751</v>
      </c>
    </row>
    <row r="142" spans="1:3" x14ac:dyDescent="0.3">
      <c r="A142" s="2">
        <v>12.39686018181839</v>
      </c>
      <c r="B142" s="2">
        <v>2.9070982056125789</v>
      </c>
      <c r="C142" s="2">
        <v>7.2928050977840781</v>
      </c>
    </row>
    <row r="143" spans="1:3" x14ac:dyDescent="0.3">
      <c r="A143" s="2">
        <v>6.0590964166448291</v>
      </c>
      <c r="B143" s="2">
        <v>7.4770647561625072</v>
      </c>
      <c r="C143" s="2">
        <v>4.3639454523778669</v>
      </c>
    </row>
    <row r="144" spans="1:3" x14ac:dyDescent="0.3">
      <c r="A144" s="2">
        <v>7.6024076846293944</v>
      </c>
      <c r="B144" s="2">
        <v>7.243811912115552</v>
      </c>
      <c r="C144" s="2">
        <v>4.3510452534652302</v>
      </c>
    </row>
    <row r="145" spans="1:3" x14ac:dyDescent="0.3">
      <c r="A145" s="2">
        <v>6.3906538996525608</v>
      </c>
      <c r="B145" s="2">
        <v>7.2583532159654718</v>
      </c>
      <c r="C145" s="2">
        <v>4.9452374470208831</v>
      </c>
    </row>
    <row r="146" spans="1:3" x14ac:dyDescent="0.3">
      <c r="A146" s="2">
        <v>6.2855416088230216</v>
      </c>
      <c r="B146" s="2">
        <v>4.8612148505496124</v>
      </c>
      <c r="C146" s="2">
        <v>5.0775379452775873</v>
      </c>
    </row>
    <row r="147" spans="1:3" x14ac:dyDescent="0.3">
      <c r="A147" s="2">
        <v>3.862271016136857</v>
      </c>
      <c r="B147" s="2">
        <v>6.6950096064987967</v>
      </c>
      <c r="C147" s="2">
        <v>3.7481934651494861</v>
      </c>
    </row>
    <row r="148" spans="1:3" x14ac:dyDescent="0.3">
      <c r="A148" s="2">
        <v>8.3858861411199968</v>
      </c>
      <c r="B148" s="2">
        <v>8.7324694710434478</v>
      </c>
      <c r="C148" s="2">
        <v>3.278896114455788</v>
      </c>
    </row>
    <row r="149" spans="1:3" x14ac:dyDescent="0.3">
      <c r="A149" s="2">
        <v>7.6381366846874066</v>
      </c>
      <c r="B149" s="2">
        <v>5.9398627081996471</v>
      </c>
      <c r="C149" s="2">
        <v>3.7677571334390709</v>
      </c>
    </row>
    <row r="150" spans="1:3" x14ac:dyDescent="0.3">
      <c r="A150" s="2">
        <v>4.1093153747438578</v>
      </c>
      <c r="B150" s="2">
        <v>6.9719674848991486</v>
      </c>
      <c r="C150" s="2">
        <v>4.5738649039276718</v>
      </c>
    </row>
    <row r="151" spans="1:3" x14ac:dyDescent="0.3">
      <c r="A151" s="2">
        <v>6.2441559283427166</v>
      </c>
      <c r="B151" s="2">
        <v>7.4648670070035914</v>
      </c>
      <c r="C151" s="2">
        <v>5.4703953246544534</v>
      </c>
    </row>
    <row r="152" spans="1:3" x14ac:dyDescent="0.3">
      <c r="A152" s="2">
        <v>11.38178432461121</v>
      </c>
      <c r="B152" s="2">
        <v>7.8695534485983609</v>
      </c>
      <c r="C152" s="2">
        <v>4.0466889012115734</v>
      </c>
    </row>
    <row r="153" spans="1:3" x14ac:dyDescent="0.3">
      <c r="A153" s="2">
        <v>5.9716507196801034</v>
      </c>
      <c r="B153" s="2">
        <v>5.5576919765112027</v>
      </c>
      <c r="C153" s="2">
        <v>2.5101224236020472</v>
      </c>
    </row>
    <row r="154" spans="1:3" x14ac:dyDescent="0.3">
      <c r="A154" s="2">
        <v>5.1999372242534516</v>
      </c>
      <c r="B154" s="2">
        <v>7.8318024968700586</v>
      </c>
      <c r="C154" s="2">
        <v>2.3624875969863659</v>
      </c>
    </row>
    <row r="155" spans="1:3" x14ac:dyDescent="0.3">
      <c r="A155" s="2">
        <v>7.5514527891298986</v>
      </c>
      <c r="B155" s="2">
        <v>6.4629518695684993</v>
      </c>
      <c r="C155" s="2">
        <v>2.9817378485618131</v>
      </c>
    </row>
    <row r="156" spans="1:3" x14ac:dyDescent="0.3">
      <c r="A156" s="2">
        <v>13.085377335999221</v>
      </c>
      <c r="B156" s="2">
        <v>8.4152719855327174</v>
      </c>
      <c r="C156" s="2">
        <v>5.5956030393636702</v>
      </c>
    </row>
    <row r="157" spans="1:3" x14ac:dyDescent="0.3">
      <c r="A157" s="2">
        <v>5.9896705732409163</v>
      </c>
      <c r="B157" s="2">
        <v>7.7754763857154412</v>
      </c>
      <c r="C157" s="2">
        <v>6.7411178304167194</v>
      </c>
    </row>
    <row r="158" spans="1:3" x14ac:dyDescent="0.3">
      <c r="A158" s="2">
        <v>8.8721013236362083</v>
      </c>
      <c r="B158" s="2">
        <v>3.7358072312878421</v>
      </c>
      <c r="C158" s="2">
        <v>2.5819444876343409</v>
      </c>
    </row>
    <row r="159" spans="1:3" x14ac:dyDescent="0.3">
      <c r="A159" s="2">
        <v>9.6569862750769033</v>
      </c>
      <c r="B159" s="2">
        <v>8.2209472362451415</v>
      </c>
      <c r="C159" s="2">
        <v>5.7927666178129984</v>
      </c>
    </row>
    <row r="160" spans="1:3" x14ac:dyDescent="0.3">
      <c r="A160" s="2">
        <v>5.9576791115222978</v>
      </c>
      <c r="B160" s="2">
        <v>7.6826024627576084</v>
      </c>
      <c r="C160" s="2">
        <v>5.678258763093349</v>
      </c>
    </row>
    <row r="161" spans="1:3" x14ac:dyDescent="0.3">
      <c r="A161" s="2">
        <v>9.3491208490434232</v>
      </c>
      <c r="B161" s="2">
        <v>3.3835237963794338</v>
      </c>
      <c r="C161" s="2">
        <v>8.7541764859933746</v>
      </c>
    </row>
    <row r="162" spans="1:3" x14ac:dyDescent="0.3">
      <c r="A162" s="2">
        <v>6.801531484883709</v>
      </c>
      <c r="B162" s="2">
        <v>4.1413685493987797</v>
      </c>
      <c r="C162" s="2">
        <v>9.7795462547929457</v>
      </c>
    </row>
    <row r="163" spans="1:3" x14ac:dyDescent="0.3">
      <c r="A163" s="2">
        <v>8.5577521157602536</v>
      </c>
      <c r="B163" s="2">
        <v>4.0904535453425632</v>
      </c>
      <c r="C163" s="2">
        <v>7.1293045426523989</v>
      </c>
    </row>
    <row r="164" spans="1:3" x14ac:dyDescent="0.3">
      <c r="A164" s="2">
        <v>8.5671501313880434</v>
      </c>
      <c r="B164" s="2">
        <v>6.4757673815718988</v>
      </c>
      <c r="C164" s="2">
        <v>6.3786627528195758</v>
      </c>
    </row>
    <row r="165" spans="1:3" x14ac:dyDescent="0.3">
      <c r="A165" s="2">
        <v>7.8602344007993938</v>
      </c>
      <c r="B165" s="2">
        <v>4.9475156314427702</v>
      </c>
      <c r="C165" s="2">
        <v>6.0182759413705593</v>
      </c>
    </row>
    <row r="166" spans="1:3" x14ac:dyDescent="0.3">
      <c r="A166" s="2">
        <v>4.6313090652078781</v>
      </c>
      <c r="B166" s="2">
        <v>4.5514711068463676</v>
      </c>
      <c r="C166" s="2">
        <v>3.3640610808202802</v>
      </c>
    </row>
    <row r="167" spans="1:3" x14ac:dyDescent="0.3">
      <c r="A167" s="2">
        <v>10.42382337120153</v>
      </c>
      <c r="B167" s="2">
        <v>5.1487775105148463</v>
      </c>
      <c r="C167" s="2">
        <v>2.4971404847516641</v>
      </c>
    </row>
    <row r="168" spans="1:3" x14ac:dyDescent="0.3">
      <c r="A168" s="2">
        <v>6.5172683590629132</v>
      </c>
      <c r="B168" s="2">
        <v>7.2515121654003449</v>
      </c>
      <c r="C168" s="2">
        <v>1.627457221713831</v>
      </c>
    </row>
    <row r="169" spans="1:3" x14ac:dyDescent="0.3">
      <c r="A169" s="2">
        <v>5.5632901035025508</v>
      </c>
      <c r="B169" s="2">
        <v>4.4508034456822054</v>
      </c>
      <c r="C169" s="2">
        <v>5.2305431763381121</v>
      </c>
    </row>
    <row r="170" spans="1:3" x14ac:dyDescent="0.3">
      <c r="A170" s="2">
        <v>3.9322700065351408</v>
      </c>
      <c r="B170" s="2">
        <v>4.6368741986071393</v>
      </c>
      <c r="C170" s="2">
        <v>3.3213651371511852</v>
      </c>
    </row>
    <row r="171" spans="1:3" x14ac:dyDescent="0.3">
      <c r="A171" s="2">
        <v>8.2484885130950119</v>
      </c>
      <c r="B171" s="2">
        <v>7.5478302660073089</v>
      </c>
      <c r="C171" s="2">
        <v>6.5672766945622074</v>
      </c>
    </row>
    <row r="172" spans="1:3" x14ac:dyDescent="0.3">
      <c r="A172" s="2">
        <v>8.9163954016509539</v>
      </c>
      <c r="B172" s="2">
        <v>7.7325855508590999</v>
      </c>
      <c r="C172" s="2">
        <v>2.5388256857127121</v>
      </c>
    </row>
    <row r="173" spans="1:3" x14ac:dyDescent="0.3">
      <c r="A173" s="2">
        <v>3.4135281459048992</v>
      </c>
      <c r="B173" s="2">
        <v>8.2844236957527748</v>
      </c>
      <c r="C173" s="2">
        <v>5.4320677569457176</v>
      </c>
    </row>
    <row r="174" spans="1:3" x14ac:dyDescent="0.3">
      <c r="A174" s="2">
        <v>7.7005397906865944</v>
      </c>
      <c r="B174" s="2">
        <v>9.044674328418596</v>
      </c>
      <c r="C174" s="2">
        <v>3.2968563147125201</v>
      </c>
    </row>
    <row r="175" spans="1:3" x14ac:dyDescent="0.3">
      <c r="A175" s="2">
        <v>5.8756484488477554</v>
      </c>
      <c r="B175" s="2">
        <v>3.5302692706731702</v>
      </c>
      <c r="C175" s="2">
        <v>2.004908758315445</v>
      </c>
    </row>
    <row r="176" spans="1:3" x14ac:dyDescent="0.3">
      <c r="A176" s="2">
        <v>8.6573526355765846</v>
      </c>
      <c r="B176" s="2">
        <v>6.4610574038102762</v>
      </c>
      <c r="C176" s="2">
        <v>3.1918344604870819</v>
      </c>
    </row>
    <row r="177" spans="1:3" x14ac:dyDescent="0.3">
      <c r="A177" s="2">
        <v>5.4618195494055879</v>
      </c>
      <c r="B177" s="2">
        <v>2.989767397133158</v>
      </c>
      <c r="C177" s="2">
        <v>3.5407869477378879</v>
      </c>
    </row>
    <row r="178" spans="1:3" x14ac:dyDescent="0.3">
      <c r="A178" s="2">
        <v>9.0271274290691732</v>
      </c>
      <c r="B178" s="2">
        <v>6.3262196643348068</v>
      </c>
      <c r="C178" s="2">
        <v>4.855884543734061</v>
      </c>
    </row>
    <row r="179" spans="1:3" x14ac:dyDescent="0.3">
      <c r="A179" s="2">
        <v>6.9132686534153409</v>
      </c>
      <c r="B179" s="2">
        <v>8.9206002923580225</v>
      </c>
      <c r="C179" s="2">
        <v>3.630582600734694</v>
      </c>
    </row>
    <row r="180" spans="1:3" x14ac:dyDescent="0.3">
      <c r="A180" s="2">
        <v>11.85950484401836</v>
      </c>
      <c r="B180" s="2">
        <v>3.7905920326513338</v>
      </c>
      <c r="C180" s="2">
        <v>2.95454049767977</v>
      </c>
    </row>
    <row r="181" spans="1:3" x14ac:dyDescent="0.3">
      <c r="A181" s="2">
        <v>5.1303381341540337</v>
      </c>
      <c r="B181" s="2">
        <v>8.6722143712911883</v>
      </c>
      <c r="C181" s="2">
        <v>3.2166375723118139</v>
      </c>
    </row>
    <row r="182" spans="1:3" x14ac:dyDescent="0.3">
      <c r="A182" s="2">
        <v>6.6423481410111469</v>
      </c>
      <c r="B182" s="2">
        <v>9.6961856085087543</v>
      </c>
      <c r="C182" s="2">
        <v>0</v>
      </c>
    </row>
    <row r="183" spans="1:3" x14ac:dyDescent="0.3">
      <c r="A183" s="2">
        <v>4.8893205841021068</v>
      </c>
      <c r="B183" s="2">
        <v>3.9588255443123379</v>
      </c>
      <c r="C183" s="2">
        <v>4.1029820785379041</v>
      </c>
    </row>
    <row r="184" spans="1:3" x14ac:dyDescent="0.3">
      <c r="A184" s="2">
        <v>11.64656573817887</v>
      </c>
      <c r="B184" s="2">
        <v>6.428639173476971</v>
      </c>
      <c r="C184" s="2">
        <v>4.9710389737549354</v>
      </c>
    </row>
    <row r="185" spans="1:3" x14ac:dyDescent="0.3">
      <c r="A185" s="2">
        <v>10.94117217633784</v>
      </c>
      <c r="B185" s="2">
        <v>6.6312645570133562</v>
      </c>
      <c r="C185" s="2">
        <v>4.0142072299552058</v>
      </c>
    </row>
    <row r="186" spans="1:3" x14ac:dyDescent="0.3">
      <c r="A186" s="2">
        <v>6.1023663459383846</v>
      </c>
      <c r="B186" s="2">
        <v>10.09497214329974</v>
      </c>
      <c r="C186" s="2">
        <v>5.3160547962131908</v>
      </c>
    </row>
    <row r="187" spans="1:3" x14ac:dyDescent="0.3">
      <c r="A187" s="2">
        <v>8.7742667505340073</v>
      </c>
      <c r="B187" s="2">
        <v>5.5078386303745202</v>
      </c>
      <c r="C187" s="2">
        <v>6.9269323621472623</v>
      </c>
    </row>
    <row r="188" spans="1:3" x14ac:dyDescent="0.3">
      <c r="A188" s="2">
        <v>10.221947473124731</v>
      </c>
      <c r="B188" s="2">
        <v>3.10680721133566</v>
      </c>
      <c r="C188" s="2">
        <v>7.1248844715582358</v>
      </c>
    </row>
    <row r="189" spans="1:3" x14ac:dyDescent="0.3">
      <c r="A189" s="2">
        <v>7.9942998999533863</v>
      </c>
      <c r="B189" s="2">
        <v>7.8448949866769953</v>
      </c>
      <c r="C189" s="2">
        <v>6.9529700174295872</v>
      </c>
    </row>
    <row r="190" spans="1:3" x14ac:dyDescent="0.3">
      <c r="A190" s="2">
        <v>7.8185540097923756</v>
      </c>
      <c r="B190" s="2">
        <v>7.8455987654883232</v>
      </c>
      <c r="C190" s="2">
        <v>3.6075811012892109</v>
      </c>
    </row>
    <row r="191" spans="1:3" x14ac:dyDescent="0.3">
      <c r="A191" s="2">
        <v>5.9882070975218378</v>
      </c>
      <c r="B191" s="2">
        <v>9.1730599408280629</v>
      </c>
      <c r="C191" s="2">
        <v>2.9495910633702129</v>
      </c>
    </row>
    <row r="192" spans="1:3" x14ac:dyDescent="0.3">
      <c r="A192" s="2">
        <v>4.6642551255142699</v>
      </c>
      <c r="B192" s="2">
        <v>4.9784020689408814</v>
      </c>
      <c r="C192" s="2">
        <v>3.7214326734598968</v>
      </c>
    </row>
    <row r="193" spans="1:3" x14ac:dyDescent="0.3">
      <c r="A193" s="2">
        <v>11.216870824720971</v>
      </c>
      <c r="B193" s="2">
        <v>5.0969818664746107</v>
      </c>
      <c r="C193" s="2">
        <v>6.1666203062781726</v>
      </c>
    </row>
    <row r="194" spans="1:3" x14ac:dyDescent="0.3">
      <c r="A194" s="2">
        <v>11.26370903846386</v>
      </c>
      <c r="B194" s="2">
        <v>8.6145900704999558</v>
      </c>
      <c r="C194" s="2">
        <v>5.5543486451491528</v>
      </c>
    </row>
    <row r="195" spans="1:3" x14ac:dyDescent="0.3">
      <c r="A195" s="2">
        <v>8.5638598465545179</v>
      </c>
      <c r="B195" s="2">
        <v>4.276864489130479</v>
      </c>
      <c r="C195" s="2">
        <v>3.2995350660044189</v>
      </c>
    </row>
    <row r="196" spans="1:3" x14ac:dyDescent="0.3">
      <c r="A196" s="2">
        <v>6.6299623227894138</v>
      </c>
      <c r="B196" s="2">
        <v>6.3937961931758256</v>
      </c>
      <c r="C196" s="2">
        <v>7.1617674689934123</v>
      </c>
    </row>
    <row r="197" spans="1:3" x14ac:dyDescent="0.3">
      <c r="A197" s="2">
        <v>6.6915073301573704</v>
      </c>
      <c r="B197" s="2">
        <v>5.6359867275104669</v>
      </c>
      <c r="C197" s="2">
        <v>2.5719170094266199</v>
      </c>
    </row>
    <row r="198" spans="1:3" x14ac:dyDescent="0.3">
      <c r="A198" s="2">
        <v>9.3289880596107473</v>
      </c>
      <c r="B198" s="2">
        <v>4.5312391908974794</v>
      </c>
      <c r="C198" s="2">
        <v>3.8027849718662998</v>
      </c>
    </row>
    <row r="199" spans="1:3" x14ac:dyDescent="0.3">
      <c r="A199" s="2">
        <v>11.21534027177203</v>
      </c>
      <c r="B199" s="2">
        <v>5.7516055861191946</v>
      </c>
      <c r="C199" s="2">
        <v>5.3390569782922279</v>
      </c>
    </row>
    <row r="200" spans="1:3" x14ac:dyDescent="0.3">
      <c r="A200" s="2">
        <v>11.0733312636088</v>
      </c>
      <c r="B200" s="2">
        <v>3.8358362521811169</v>
      </c>
      <c r="C200" s="2">
        <v>6.6504840716938061</v>
      </c>
    </row>
    <row r="201" spans="1:3" x14ac:dyDescent="0.3">
      <c r="A201" s="2">
        <v>9.8344100925937941</v>
      </c>
      <c r="B201" s="2">
        <v>9.4153045450590156</v>
      </c>
      <c r="C201" s="2">
        <v>7.3325140157949376</v>
      </c>
    </row>
    <row r="202" spans="1:3" x14ac:dyDescent="0.3">
      <c r="A202" s="2">
        <v>8.6328732656816776</v>
      </c>
      <c r="B202" s="2">
        <v>5.8692729928786624</v>
      </c>
      <c r="C202" s="2">
        <v>5.5398081398547374</v>
      </c>
    </row>
    <row r="203" spans="1:3" x14ac:dyDescent="0.3">
      <c r="A203" s="2">
        <v>4.557445415776785</v>
      </c>
      <c r="B203" s="2">
        <v>5.5776718756890737</v>
      </c>
      <c r="C203" s="2">
        <v>2.301825736883663</v>
      </c>
    </row>
    <row r="204" spans="1:3" x14ac:dyDescent="0.3">
      <c r="A204" s="2">
        <v>5.3515856301538651</v>
      </c>
      <c r="B204" s="2">
        <v>3.648998048013254</v>
      </c>
      <c r="C204" s="2">
        <v>7.1235335750804403</v>
      </c>
    </row>
    <row r="205" spans="1:3" x14ac:dyDescent="0.3">
      <c r="A205" s="2">
        <v>11.236357248701269</v>
      </c>
      <c r="B205" s="2">
        <v>6.2227927306955397</v>
      </c>
      <c r="C205" s="2">
        <v>2.7124921795439629</v>
      </c>
    </row>
    <row r="206" spans="1:3" x14ac:dyDescent="0.3">
      <c r="A206" s="2">
        <v>8.362588586139168</v>
      </c>
      <c r="B206" s="2">
        <v>3.7629104252311638</v>
      </c>
      <c r="C206" s="2">
        <v>3.8931455357627671</v>
      </c>
    </row>
    <row r="207" spans="1:3" x14ac:dyDescent="0.3">
      <c r="A207" s="2">
        <v>3.1802232477890162</v>
      </c>
      <c r="B207" s="2">
        <v>3.6644421386066308</v>
      </c>
      <c r="C207" s="2">
        <v>2.8314574215487678</v>
      </c>
    </row>
    <row r="208" spans="1:3" x14ac:dyDescent="0.3">
      <c r="A208" s="2">
        <v>4.7594320794372367</v>
      </c>
      <c r="B208" s="2">
        <v>4.4966897254650249</v>
      </c>
      <c r="C208" s="2">
        <v>4.7093173707614246</v>
      </c>
    </row>
    <row r="209" spans="1:3" x14ac:dyDescent="0.3">
      <c r="A209" s="2">
        <v>8.8024063851912189</v>
      </c>
      <c r="B209" s="2">
        <v>2.9177197601756681</v>
      </c>
      <c r="C209" s="2">
        <v>2.7565777036905139</v>
      </c>
    </row>
    <row r="210" spans="1:3" x14ac:dyDescent="0.3">
      <c r="A210" s="2">
        <v>3.0046268753279621</v>
      </c>
      <c r="B210" s="2">
        <v>3.738224043400888</v>
      </c>
      <c r="C210" s="2">
        <v>5.8916882205162553</v>
      </c>
    </row>
    <row r="211" spans="1:3" x14ac:dyDescent="0.3">
      <c r="A211" s="2">
        <v>5.3443370170945563</v>
      </c>
      <c r="B211" s="2">
        <v>6.2495788806952994</v>
      </c>
      <c r="C211" s="2">
        <v>5.7719368541357676</v>
      </c>
    </row>
    <row r="212" spans="1:3" x14ac:dyDescent="0.3">
      <c r="A212" s="2">
        <v>7.9493497524944674</v>
      </c>
      <c r="B212" s="2">
        <v>5.8409236478457274</v>
      </c>
      <c r="C212" s="2">
        <v>6.4829663290410569</v>
      </c>
    </row>
    <row r="213" spans="1:3" x14ac:dyDescent="0.3">
      <c r="A213" s="2">
        <v>9.0351462959957303</v>
      </c>
      <c r="B213" s="2">
        <v>4.0621288172368821</v>
      </c>
      <c r="C213" s="2">
        <v>5.4987673213831112</v>
      </c>
    </row>
    <row r="214" spans="1:3" x14ac:dyDescent="0.3">
      <c r="A214" s="2">
        <v>8.710628983912196</v>
      </c>
      <c r="B214" s="2">
        <v>6.8555488816504404</v>
      </c>
      <c r="C214" s="2">
        <v>5.3693682165168397</v>
      </c>
    </row>
    <row r="215" spans="1:3" x14ac:dyDescent="0.3">
      <c r="A215" s="2">
        <v>5.85901607006587</v>
      </c>
      <c r="B215" s="2">
        <v>7.3597278933991381</v>
      </c>
      <c r="C215" s="2">
        <v>2.841021770128568</v>
      </c>
    </row>
    <row r="216" spans="1:3" x14ac:dyDescent="0.3">
      <c r="A216" s="2">
        <v>9.2080541854172395</v>
      </c>
      <c r="B216" s="2">
        <v>7.5626087767644048</v>
      </c>
      <c r="C216" s="2">
        <v>3.4761386780327901</v>
      </c>
    </row>
    <row r="217" spans="1:3" x14ac:dyDescent="0.3">
      <c r="A217" s="2">
        <v>5.9548518914656832</v>
      </c>
      <c r="B217" s="2">
        <v>8.3893996360143177</v>
      </c>
      <c r="C217" s="2">
        <v>4.6871078400256474</v>
      </c>
    </row>
    <row r="218" spans="1:3" x14ac:dyDescent="0.3">
      <c r="A218" s="2">
        <v>6.5460917951021278</v>
      </c>
      <c r="B218" s="2">
        <v>5.1830135054418109</v>
      </c>
      <c r="C218" s="2">
        <v>4.86313122570429</v>
      </c>
    </row>
    <row r="219" spans="1:3" x14ac:dyDescent="0.3">
      <c r="A219" s="2">
        <v>9.5150481171220704</v>
      </c>
      <c r="B219" s="2">
        <v>4.471678694025897</v>
      </c>
      <c r="C219" s="2">
        <v>4.1988360680349883</v>
      </c>
    </row>
    <row r="220" spans="1:3" x14ac:dyDescent="0.3">
      <c r="A220" s="2">
        <v>8.6922977930454373</v>
      </c>
      <c r="B220" s="2">
        <v>5.6323596441623556</v>
      </c>
      <c r="C220" s="2">
        <v>6.068781600911147</v>
      </c>
    </row>
    <row r="221" spans="1:3" x14ac:dyDescent="0.3">
      <c r="A221" s="2">
        <v>10.58693521793283</v>
      </c>
      <c r="B221" s="2">
        <v>6.3833674931903879</v>
      </c>
      <c r="C221" s="2">
        <v>9.7652429221954762</v>
      </c>
    </row>
    <row r="222" spans="1:3" x14ac:dyDescent="0.3">
      <c r="A222" s="2">
        <v>8.7553810248433113</v>
      </c>
      <c r="B222" s="2">
        <v>7.5681552029576569</v>
      </c>
      <c r="C222" s="2">
        <v>5.7501804990816403</v>
      </c>
    </row>
    <row r="223" spans="1:3" x14ac:dyDescent="0.3">
      <c r="A223" s="2">
        <v>8.0864215778960613</v>
      </c>
      <c r="B223" s="2">
        <v>3.0961683080224738</v>
      </c>
      <c r="C223" s="2">
        <v>3.4918253878932619</v>
      </c>
    </row>
    <row r="224" spans="1:3" x14ac:dyDescent="0.3">
      <c r="A224" s="2">
        <v>4.6708932653245139</v>
      </c>
      <c r="B224" s="2">
        <v>7.109759008090669</v>
      </c>
      <c r="C224" s="2">
        <v>6.540985221547837</v>
      </c>
    </row>
    <row r="225" spans="1:3" x14ac:dyDescent="0.3">
      <c r="A225" s="2">
        <v>6.8011375353292154</v>
      </c>
      <c r="B225" s="2">
        <v>5.0921652500799466</v>
      </c>
      <c r="C225" s="2">
        <v>3.5907545631565312</v>
      </c>
    </row>
    <row r="226" spans="1:3" x14ac:dyDescent="0.3">
      <c r="A226" s="2">
        <v>6.1527155813268024</v>
      </c>
      <c r="B226" s="2">
        <v>5.4286226376326496</v>
      </c>
      <c r="C226" s="2">
        <v>5.6435752099519689</v>
      </c>
    </row>
    <row r="227" spans="1:3" x14ac:dyDescent="0.3">
      <c r="A227" s="2">
        <v>6.0035865849728456</v>
      </c>
      <c r="B227" s="2">
        <v>6.075277347004107</v>
      </c>
      <c r="C227" s="2">
        <v>5.8960286250751981</v>
      </c>
    </row>
    <row r="228" spans="1:3" x14ac:dyDescent="0.3">
      <c r="A228" s="2">
        <v>12.671358063661319</v>
      </c>
      <c r="B228" s="2">
        <v>4.3714465984621276</v>
      </c>
      <c r="C228" s="2">
        <v>5.3851567872034094</v>
      </c>
    </row>
    <row r="229" spans="1:3" x14ac:dyDescent="0.3">
      <c r="A229" s="2">
        <v>6.9511656800315897</v>
      </c>
      <c r="B229" s="2">
        <v>6.1088308749269382</v>
      </c>
      <c r="C229" s="2">
        <v>3.653405083512145</v>
      </c>
    </row>
    <row r="230" spans="1:3" x14ac:dyDescent="0.3">
      <c r="A230" s="2">
        <v>11.14277752645223</v>
      </c>
      <c r="B230" s="2">
        <v>6.6656902324339704</v>
      </c>
      <c r="C230" s="2">
        <v>5.0572741995603403</v>
      </c>
    </row>
    <row r="231" spans="1:3" x14ac:dyDescent="0.3">
      <c r="A231" s="2">
        <v>8.5488038645648672</v>
      </c>
      <c r="B231" s="2">
        <v>6.505683118080329</v>
      </c>
      <c r="C231" s="2">
        <v>3.8440846959867629</v>
      </c>
    </row>
    <row r="232" spans="1:3" x14ac:dyDescent="0.3">
      <c r="A232" s="2">
        <v>9.985117161846123</v>
      </c>
      <c r="B232" s="2">
        <v>4.9359616941798334</v>
      </c>
      <c r="C232" s="2">
        <v>3.8345359360167421</v>
      </c>
    </row>
    <row r="233" spans="1:3" x14ac:dyDescent="0.3">
      <c r="A233" s="2">
        <v>7.6378600686245299</v>
      </c>
      <c r="B233" s="2">
        <v>5.2873679060716281</v>
      </c>
      <c r="C233" s="2">
        <v>1.435169353569711</v>
      </c>
    </row>
    <row r="234" spans="1:3" x14ac:dyDescent="0.3">
      <c r="A234" s="2">
        <v>8.147590424545788</v>
      </c>
      <c r="B234" s="2">
        <v>3.0351370924641952</v>
      </c>
      <c r="C234" s="2">
        <v>4.6416659441110371</v>
      </c>
    </row>
    <row r="235" spans="1:3" x14ac:dyDescent="0.3">
      <c r="A235" s="2">
        <v>7.5714392158506403</v>
      </c>
      <c r="B235" s="2">
        <v>4.1990638762637253</v>
      </c>
      <c r="C235" s="2">
        <v>9.4465309493337788</v>
      </c>
    </row>
    <row r="236" spans="1:3" x14ac:dyDescent="0.3">
      <c r="A236" s="2">
        <v>5.6341146622482743</v>
      </c>
      <c r="B236" s="2">
        <v>3.572195955977397</v>
      </c>
      <c r="C236" s="2">
        <v>0</v>
      </c>
    </row>
    <row r="237" spans="1:3" x14ac:dyDescent="0.3">
      <c r="A237" s="2">
        <v>9.297949830870877</v>
      </c>
      <c r="B237" s="2">
        <v>7.5313300831548373</v>
      </c>
      <c r="C237" s="2">
        <v>0.2292084348819774</v>
      </c>
    </row>
    <row r="238" spans="1:3" x14ac:dyDescent="0.3">
      <c r="A238" s="2">
        <v>6.2584115733111849</v>
      </c>
      <c r="B238" s="2">
        <v>4.641095944020222</v>
      </c>
      <c r="C238" s="2">
        <v>5.0207111162528788</v>
      </c>
    </row>
    <row r="239" spans="1:3" x14ac:dyDescent="0.3">
      <c r="A239" s="2">
        <v>3.6060453296164861</v>
      </c>
      <c r="B239" s="2">
        <v>6.0996627276487354</v>
      </c>
      <c r="C239" s="2">
        <v>6.4761277933099937</v>
      </c>
    </row>
    <row r="240" spans="1:3" x14ac:dyDescent="0.3">
      <c r="A240" s="2">
        <v>8.6596923713247289</v>
      </c>
      <c r="B240" s="2">
        <v>6.0290828393064713</v>
      </c>
      <c r="C240" s="2">
        <v>2.0756859296788019</v>
      </c>
    </row>
    <row r="241" spans="1:3" x14ac:dyDescent="0.3">
      <c r="A241" s="2">
        <v>5.4850357252415982</v>
      </c>
      <c r="B241" s="2">
        <v>5.3565621045517284</v>
      </c>
      <c r="C241" s="2">
        <v>5.3538822473923844</v>
      </c>
    </row>
    <row r="242" spans="1:3" x14ac:dyDescent="0.3">
      <c r="A242" s="2">
        <v>11.92951640245416</v>
      </c>
      <c r="B242" s="2">
        <v>3.9907520085660422</v>
      </c>
      <c r="C242" s="2">
        <v>4.5608355022214608</v>
      </c>
    </row>
    <row r="243" spans="1:3" x14ac:dyDescent="0.3">
      <c r="A243" s="2">
        <v>12.20278598965559</v>
      </c>
      <c r="B243" s="2">
        <v>5.2019979566820469</v>
      </c>
      <c r="C243" s="2">
        <v>3.6349215919026721</v>
      </c>
    </row>
    <row r="244" spans="1:3" x14ac:dyDescent="0.3">
      <c r="A244" s="2">
        <v>11.48503386858812</v>
      </c>
      <c r="B244" s="2">
        <v>8.3694493250442665</v>
      </c>
      <c r="C244" s="2">
        <v>5.7008028107527968</v>
      </c>
    </row>
    <row r="245" spans="1:3" x14ac:dyDescent="0.3">
      <c r="A245" s="2">
        <v>6.815444513588945</v>
      </c>
      <c r="B245" s="2">
        <v>7.5311385639987796</v>
      </c>
      <c r="C245" s="2">
        <v>2.7842778569239348</v>
      </c>
    </row>
    <row r="246" spans="1:3" x14ac:dyDescent="0.3">
      <c r="A246" s="2">
        <v>3.381828995648998</v>
      </c>
      <c r="B246" s="2">
        <v>8.7936933714915408</v>
      </c>
      <c r="C246" s="2">
        <v>7.0373959049523194</v>
      </c>
    </row>
    <row r="247" spans="1:3" x14ac:dyDescent="0.3">
      <c r="A247" s="2">
        <v>11.708779646206549</v>
      </c>
      <c r="B247" s="2">
        <v>9.2385588396821969</v>
      </c>
      <c r="C247" s="2">
        <v>0.8828482667124895</v>
      </c>
    </row>
    <row r="248" spans="1:3" x14ac:dyDescent="0.3">
      <c r="A248" s="2">
        <v>7.1638208920830531</v>
      </c>
      <c r="B248" s="2">
        <v>5.5632392714564602</v>
      </c>
      <c r="C248" s="2">
        <v>4.7269952432172886</v>
      </c>
    </row>
    <row r="249" spans="1:3" x14ac:dyDescent="0.3">
      <c r="A249" s="2">
        <v>12.500874999536791</v>
      </c>
      <c r="B249" s="2">
        <v>8.1333977543378513</v>
      </c>
      <c r="C249" s="2">
        <v>5.1256343062572682</v>
      </c>
    </row>
    <row r="250" spans="1:3" x14ac:dyDescent="0.3">
      <c r="A250" s="2">
        <v>12.42523737260092</v>
      </c>
      <c r="B250" s="2">
        <v>5.2406122239722501</v>
      </c>
      <c r="C250" s="2">
        <v>4.5505724450660754</v>
      </c>
    </row>
    <row r="251" spans="1:3" x14ac:dyDescent="0.3">
      <c r="A251" s="2">
        <v>10.632586182451499</v>
      </c>
      <c r="B251" s="2">
        <v>6.2290775927071653</v>
      </c>
      <c r="C251" s="2">
        <v>3.8230895054384879</v>
      </c>
    </row>
    <row r="252" spans="1:3" x14ac:dyDescent="0.3">
      <c r="A252" s="2">
        <v>6.3488600598126261</v>
      </c>
      <c r="B252" s="2">
        <v>5.9051475252321843</v>
      </c>
      <c r="C252" s="2">
        <v>6.2206539448093388</v>
      </c>
    </row>
    <row r="253" spans="1:3" x14ac:dyDescent="0.3">
      <c r="A253" s="2">
        <v>6.9035461587394851</v>
      </c>
      <c r="B253" s="2">
        <v>7.1845022419102147</v>
      </c>
      <c r="C253" s="2">
        <v>4.0425417216808341</v>
      </c>
    </row>
    <row r="254" spans="1:3" x14ac:dyDescent="0.3">
      <c r="A254" s="2">
        <v>10.609932176118321</v>
      </c>
      <c r="B254" s="2">
        <v>8.2751796423138977</v>
      </c>
      <c r="C254" s="2">
        <v>1.7126469139426559</v>
      </c>
    </row>
    <row r="255" spans="1:3" x14ac:dyDescent="0.3">
      <c r="A255" s="2">
        <v>6.4930371998533056</v>
      </c>
      <c r="B255" s="2">
        <v>5.783461256813597</v>
      </c>
      <c r="C255" s="2">
        <v>3.4649395875516471</v>
      </c>
    </row>
    <row r="256" spans="1:3" x14ac:dyDescent="0.3">
      <c r="A256" s="2">
        <v>5.4201335732766251</v>
      </c>
      <c r="B256" s="2">
        <v>6.1470238766776433</v>
      </c>
      <c r="C256" s="2">
        <v>5.1007745361689656</v>
      </c>
    </row>
    <row r="257" spans="1:3" x14ac:dyDescent="0.3">
      <c r="A257" s="2">
        <v>8.005474457526546</v>
      </c>
      <c r="B257" s="2">
        <v>5.5373597830559564</v>
      </c>
      <c r="C257" s="2">
        <v>3.7498552219165</v>
      </c>
    </row>
    <row r="258" spans="1:3" x14ac:dyDescent="0.3">
      <c r="A258" s="2">
        <v>11.848889697789661</v>
      </c>
      <c r="B258" s="2">
        <v>6.1069919494388074</v>
      </c>
      <c r="C258" s="2">
        <v>4.2179658652773524</v>
      </c>
    </row>
    <row r="259" spans="1:3" x14ac:dyDescent="0.3">
      <c r="A259" s="2">
        <v>9.0699181094371575</v>
      </c>
      <c r="B259" s="2">
        <v>6.3843271995998156</v>
      </c>
      <c r="C259" s="2">
        <v>6.5236385254177787</v>
      </c>
    </row>
    <row r="260" spans="1:3" x14ac:dyDescent="0.3">
      <c r="A260" s="2">
        <v>8.0988440526681522</v>
      </c>
      <c r="B260" s="2">
        <v>7.0809428641727488</v>
      </c>
      <c r="C260" s="2">
        <v>3.6464431675550601</v>
      </c>
    </row>
    <row r="261" spans="1:3" x14ac:dyDescent="0.3">
      <c r="A261" s="2">
        <v>4.7110968774812569</v>
      </c>
      <c r="B261" s="2">
        <v>4.3275814034428786</v>
      </c>
      <c r="C261" s="2">
        <v>4.7003016287570123</v>
      </c>
    </row>
    <row r="262" spans="1:3" x14ac:dyDescent="0.3">
      <c r="A262" s="2">
        <v>8.4265543812740482</v>
      </c>
      <c r="B262" s="2">
        <v>4.5215240227140052</v>
      </c>
      <c r="C262" s="2">
        <v>4.4895369101926281</v>
      </c>
    </row>
    <row r="263" spans="1:3" x14ac:dyDescent="0.3">
      <c r="A263" s="2">
        <v>13.272024969100521</v>
      </c>
      <c r="B263" s="2">
        <v>7.9660098200027054</v>
      </c>
      <c r="C263" s="2">
        <v>7.1563977215623504</v>
      </c>
    </row>
    <row r="264" spans="1:3" x14ac:dyDescent="0.3">
      <c r="A264" s="2">
        <v>5.1547366736739679</v>
      </c>
      <c r="B264" s="2">
        <v>6.5862840760131949</v>
      </c>
      <c r="C264" s="2">
        <v>5.0022552730084104</v>
      </c>
    </row>
    <row r="265" spans="1:3" x14ac:dyDescent="0.3">
      <c r="A265" s="2">
        <v>7.7422125539510294</v>
      </c>
      <c r="B265" s="2">
        <v>5.3778066656999597</v>
      </c>
      <c r="C265" s="2">
        <v>6.5825883026894436</v>
      </c>
    </row>
    <row r="266" spans="1:3" x14ac:dyDescent="0.3">
      <c r="A266" s="2">
        <v>10.941620121520881</v>
      </c>
      <c r="B266" s="2">
        <v>9.5728215709940745</v>
      </c>
      <c r="C266" s="2">
        <v>3.388551788024674</v>
      </c>
    </row>
    <row r="267" spans="1:3" x14ac:dyDescent="0.3">
      <c r="A267" s="2">
        <v>9.4624633959365561</v>
      </c>
      <c r="B267" s="2">
        <v>2.9026582383072461</v>
      </c>
      <c r="C267" s="2">
        <v>8.5813370973792349</v>
      </c>
    </row>
    <row r="268" spans="1:3" x14ac:dyDescent="0.3">
      <c r="A268" s="2">
        <v>9.0782447203493106</v>
      </c>
      <c r="B268" s="2">
        <v>5.8586382122813188</v>
      </c>
      <c r="C268" s="2">
        <v>6.6443269904760403</v>
      </c>
    </row>
    <row r="269" spans="1:3" x14ac:dyDescent="0.3">
      <c r="A269" s="2">
        <v>9.1246745908862081</v>
      </c>
      <c r="B269" s="2">
        <v>5.6588146587122328</v>
      </c>
      <c r="C269" s="2">
        <v>8.3817731377667606</v>
      </c>
    </row>
    <row r="270" spans="1:3" x14ac:dyDescent="0.3">
      <c r="A270" s="2">
        <v>6.7527637858063407</v>
      </c>
      <c r="B270" s="2">
        <v>7.8859598998259974</v>
      </c>
      <c r="C270" s="2">
        <v>5.3187673185100071</v>
      </c>
    </row>
    <row r="271" spans="1:3" x14ac:dyDescent="0.3">
      <c r="A271" s="2">
        <v>6.3432545693652216</v>
      </c>
      <c r="B271" s="2">
        <v>6.0246907248114736</v>
      </c>
      <c r="C271" s="2">
        <v>3.6278000197836731</v>
      </c>
    </row>
    <row r="272" spans="1:3" x14ac:dyDescent="0.3">
      <c r="A272" s="2">
        <v>10.137302477580899</v>
      </c>
      <c r="B272" s="2">
        <v>5.8621061077368148</v>
      </c>
      <c r="C272" s="2">
        <v>4.4213951944739582</v>
      </c>
    </row>
    <row r="273" spans="1:3" x14ac:dyDescent="0.3">
      <c r="A273" s="2">
        <v>10.145325871456929</v>
      </c>
      <c r="B273" s="2">
        <v>7.1016694326711152</v>
      </c>
      <c r="C273" s="2">
        <v>5.3402290212614787</v>
      </c>
    </row>
    <row r="274" spans="1:3" x14ac:dyDescent="0.3">
      <c r="A274" s="2">
        <v>10.807526174406849</v>
      </c>
      <c r="B274" s="2">
        <v>3.8647490077259339</v>
      </c>
      <c r="C274" s="2">
        <v>5.3125953795087302</v>
      </c>
    </row>
    <row r="275" spans="1:3" x14ac:dyDescent="0.3">
      <c r="A275" s="2">
        <v>11.459264157263471</v>
      </c>
      <c r="B275" s="2">
        <v>6.2666144641404067</v>
      </c>
      <c r="C275" s="2">
        <v>4.0408478642119494</v>
      </c>
    </row>
    <row r="276" spans="1:3" x14ac:dyDescent="0.3">
      <c r="A276" s="2">
        <v>7.6955419052299208</v>
      </c>
      <c r="B276" s="2">
        <v>6.1923561504382887</v>
      </c>
      <c r="C276" s="2">
        <v>4.870570590006734</v>
      </c>
    </row>
    <row r="277" spans="1:3" x14ac:dyDescent="0.3">
      <c r="A277" s="2">
        <v>7.6304703969019014</v>
      </c>
      <c r="B277" s="2">
        <v>8.5179001681834094</v>
      </c>
      <c r="C277" s="2">
        <v>5.4346687395570754</v>
      </c>
    </row>
    <row r="278" spans="1:3" x14ac:dyDescent="0.3">
      <c r="A278" s="2">
        <v>10.021052356746191</v>
      </c>
      <c r="B278" s="2">
        <v>10.23169690242247</v>
      </c>
      <c r="C278" s="2">
        <v>3.189679716728774</v>
      </c>
    </row>
    <row r="279" spans="1:3" x14ac:dyDescent="0.3">
      <c r="A279" s="2">
        <v>8.6949002848939152</v>
      </c>
      <c r="B279" s="2">
        <v>8.4267631047586047</v>
      </c>
      <c r="C279" s="2">
        <v>4.1265518477980772</v>
      </c>
    </row>
    <row r="280" spans="1:3" x14ac:dyDescent="0.3">
      <c r="A280" s="2">
        <v>9.1202649904716431</v>
      </c>
      <c r="B280" s="2">
        <v>5.4083565997168694</v>
      </c>
      <c r="C280" s="2">
        <v>7.7090583092838152</v>
      </c>
    </row>
    <row r="281" spans="1:3" x14ac:dyDescent="0.3">
      <c r="A281" s="2">
        <v>9.9952086044344171</v>
      </c>
      <c r="B281" s="2">
        <v>4.3907182785079888</v>
      </c>
      <c r="C281" s="2">
        <v>7.42073540426167</v>
      </c>
    </row>
    <row r="282" spans="1:3" x14ac:dyDescent="0.3">
      <c r="A282" s="2">
        <v>11.114009477422989</v>
      </c>
      <c r="B282" s="2">
        <v>4.9087255058289063</v>
      </c>
      <c r="C282" s="2">
        <v>3.2328341744942071</v>
      </c>
    </row>
    <row r="283" spans="1:3" x14ac:dyDescent="0.3">
      <c r="A283" s="2">
        <v>6.6236557010983308</v>
      </c>
      <c r="B283" s="2">
        <v>4.6272361299313847</v>
      </c>
      <c r="C283" s="2">
        <v>8.8769504744974714</v>
      </c>
    </row>
    <row r="284" spans="1:3" x14ac:dyDescent="0.3">
      <c r="A284" s="2">
        <v>6.8473115147972132</v>
      </c>
      <c r="B284" s="2">
        <v>3.7450870190154548</v>
      </c>
      <c r="C284" s="2">
        <v>3.2275567185562628</v>
      </c>
    </row>
    <row r="285" spans="1:3" x14ac:dyDescent="0.3">
      <c r="A285" s="2">
        <v>4.6744496759856551</v>
      </c>
      <c r="B285" s="2">
        <v>8.2486834890950966</v>
      </c>
      <c r="C285" s="2">
        <v>5.7547940050872741</v>
      </c>
    </row>
    <row r="286" spans="1:3" x14ac:dyDescent="0.3">
      <c r="A286" s="2">
        <v>8.1574421481833319</v>
      </c>
      <c r="B286" s="2">
        <v>7.8215240883795758</v>
      </c>
      <c r="C286" s="2">
        <v>7.6902406463598254</v>
      </c>
    </row>
    <row r="287" spans="1:3" x14ac:dyDescent="0.3">
      <c r="A287" s="2">
        <v>3.8447140196763381</v>
      </c>
      <c r="B287" s="2">
        <v>5.9830161146089491</v>
      </c>
      <c r="C287" s="2">
        <v>3.2259474975198068</v>
      </c>
    </row>
    <row r="288" spans="1:3" x14ac:dyDescent="0.3">
      <c r="A288" s="2">
        <v>7.3979030005378794</v>
      </c>
      <c r="B288" s="2">
        <v>5.5481115844598552</v>
      </c>
      <c r="C288" s="2">
        <v>2.5316298694063319</v>
      </c>
    </row>
    <row r="289" spans="1:3" x14ac:dyDescent="0.3">
      <c r="A289" s="2">
        <v>7.907319527656119</v>
      </c>
      <c r="B289" s="2">
        <v>7.3510931113100479</v>
      </c>
      <c r="C289" s="2">
        <v>5.9301793644829459</v>
      </c>
    </row>
    <row r="290" spans="1:3" x14ac:dyDescent="0.3">
      <c r="A290" s="2">
        <v>6.2968263582331474</v>
      </c>
      <c r="B290" s="2">
        <v>5.9924239827081012</v>
      </c>
      <c r="C290" s="2">
        <v>4.7500134944451551</v>
      </c>
    </row>
    <row r="291" spans="1:3" x14ac:dyDescent="0.3">
      <c r="A291" s="2">
        <v>8.2480544105364118</v>
      </c>
      <c r="B291" s="2">
        <v>5.3642772856985408</v>
      </c>
      <c r="C291" s="2">
        <v>4.1715363062466899</v>
      </c>
    </row>
    <row r="292" spans="1:3" x14ac:dyDescent="0.3">
      <c r="A292" s="2">
        <v>3.7387362812292122</v>
      </c>
      <c r="B292" s="2">
        <v>5.4637128523790306</v>
      </c>
      <c r="C292" s="2">
        <v>2.0538167280395858</v>
      </c>
    </row>
    <row r="293" spans="1:3" x14ac:dyDescent="0.3">
      <c r="A293" s="2">
        <v>3.8707616043546662</v>
      </c>
      <c r="B293" s="2">
        <v>8.2001358385805592</v>
      </c>
      <c r="C293" s="2">
        <v>7.6660578106694182</v>
      </c>
    </row>
    <row r="294" spans="1:3" x14ac:dyDescent="0.3">
      <c r="A294" s="2">
        <v>10.28091293053002</v>
      </c>
      <c r="B294" s="2">
        <v>4.4801233243001066</v>
      </c>
      <c r="C294" s="2">
        <v>5.4284397027800768</v>
      </c>
    </row>
    <row r="295" spans="1:3" x14ac:dyDescent="0.3">
      <c r="A295" s="2">
        <v>6.7568992435105431</v>
      </c>
      <c r="B295" s="2">
        <v>7.9098617931893171</v>
      </c>
      <c r="C295" s="2">
        <v>6.3439744483270619</v>
      </c>
    </row>
    <row r="296" spans="1:3" x14ac:dyDescent="0.3">
      <c r="A296" s="2">
        <v>5.0283224461125053</v>
      </c>
      <c r="B296" s="2">
        <v>6.7345201682445284</v>
      </c>
      <c r="C296" s="2">
        <v>7.3466372650295106</v>
      </c>
    </row>
    <row r="297" spans="1:3" x14ac:dyDescent="0.3">
      <c r="A297" s="2">
        <v>7.768501065501523</v>
      </c>
      <c r="B297" s="2">
        <v>9.3814167356967086</v>
      </c>
      <c r="C297" s="2">
        <v>1.2508702229868791</v>
      </c>
    </row>
    <row r="298" spans="1:3" x14ac:dyDescent="0.3">
      <c r="A298" s="2">
        <v>9.7374941823318277</v>
      </c>
      <c r="B298" s="2">
        <v>5.1819555292161201</v>
      </c>
      <c r="C298" s="2">
        <v>5.2758952309690708</v>
      </c>
    </row>
    <row r="299" spans="1:3" x14ac:dyDescent="0.3">
      <c r="A299" s="2">
        <v>5.7951412554496322</v>
      </c>
      <c r="B299" s="2">
        <v>3.7950382388349468</v>
      </c>
      <c r="C299" s="2">
        <v>1.7164861427535389</v>
      </c>
    </row>
    <row r="300" spans="1:3" x14ac:dyDescent="0.3">
      <c r="A300" s="2">
        <v>8.4859696707498156</v>
      </c>
      <c r="B300" s="2">
        <v>6.5749595212346961</v>
      </c>
      <c r="C300" s="2">
        <v>6.4765331589771096</v>
      </c>
    </row>
    <row r="301" spans="1:3" x14ac:dyDescent="0.3">
      <c r="A301" s="2">
        <v>4.5721561147356802</v>
      </c>
      <c r="B301" s="2">
        <v>4.195300151959974</v>
      </c>
      <c r="C301" s="2">
        <v>7.7277286751954319</v>
      </c>
    </row>
    <row r="302" spans="1:3" x14ac:dyDescent="0.3">
      <c r="A302" s="2">
        <v>4.1124848501591114</v>
      </c>
      <c r="B302" s="2">
        <v>4.081425999464698</v>
      </c>
      <c r="C302" s="2">
        <v>4.7124116031516969</v>
      </c>
    </row>
    <row r="303" spans="1:3" x14ac:dyDescent="0.3">
      <c r="A303" s="2">
        <v>7.8301243341153226</v>
      </c>
      <c r="B303" s="2">
        <v>8.8768337948327254</v>
      </c>
      <c r="C303" s="2">
        <v>4.7549697550382346</v>
      </c>
    </row>
    <row r="304" spans="1:3" x14ac:dyDescent="0.3">
      <c r="A304" s="2">
        <v>7.8935103923817511</v>
      </c>
      <c r="B304" s="2">
        <v>8.587600225349588</v>
      </c>
      <c r="C304" s="2">
        <v>6.1061263272962938</v>
      </c>
    </row>
    <row r="305" spans="1:3" x14ac:dyDescent="0.3">
      <c r="A305" s="2">
        <v>8.5972043470883861</v>
      </c>
      <c r="B305" s="2">
        <v>5.8521654091635789</v>
      </c>
      <c r="C305" s="2">
        <v>5.8993159403252591</v>
      </c>
    </row>
    <row r="306" spans="1:3" x14ac:dyDescent="0.3">
      <c r="A306" s="2">
        <v>9.3301938101920356</v>
      </c>
      <c r="B306" s="2">
        <v>5.9248983561666382</v>
      </c>
      <c r="C306" s="2">
        <v>4.4356704059679144</v>
      </c>
    </row>
    <row r="307" spans="1:3" x14ac:dyDescent="0.3">
      <c r="A307" s="2">
        <v>12.754065367959621</v>
      </c>
      <c r="B307" s="2">
        <v>5.9159407860547253</v>
      </c>
      <c r="C307" s="2">
        <v>6.3854716996155076</v>
      </c>
    </row>
    <row r="308" spans="1:3" x14ac:dyDescent="0.3">
      <c r="A308" s="2">
        <v>7.7286233424345863</v>
      </c>
      <c r="B308" s="2">
        <v>7.4344594707930138</v>
      </c>
      <c r="C308" s="2">
        <v>4.4051494638979092</v>
      </c>
    </row>
    <row r="309" spans="1:3" x14ac:dyDescent="0.3">
      <c r="A309" s="2">
        <v>6.5308733735598894</v>
      </c>
      <c r="B309" s="2">
        <v>5.197386143191399</v>
      </c>
      <c r="C309" s="2">
        <v>5.5432070995715899</v>
      </c>
    </row>
    <row r="310" spans="1:3" x14ac:dyDescent="0.3">
      <c r="A310" s="2">
        <v>9.9889693355514915</v>
      </c>
      <c r="B310" s="2">
        <v>2.4438276613276662</v>
      </c>
      <c r="C310" s="2">
        <v>2.2665298482558351</v>
      </c>
    </row>
    <row r="311" spans="1:3" x14ac:dyDescent="0.3">
      <c r="A311" s="2">
        <v>6.1912830507826069</v>
      </c>
      <c r="B311" s="2">
        <v>3.9558239799896371</v>
      </c>
      <c r="C311" s="2">
        <v>7.3177753261826464</v>
      </c>
    </row>
    <row r="312" spans="1:3" x14ac:dyDescent="0.3">
      <c r="A312" s="2">
        <v>7.2305054419057013</v>
      </c>
      <c r="B312" s="2">
        <v>4.634498086011849</v>
      </c>
      <c r="C312" s="2">
        <v>3.06829327551374</v>
      </c>
    </row>
    <row r="313" spans="1:3" x14ac:dyDescent="0.3">
      <c r="A313" s="2">
        <v>4.4867411873038217</v>
      </c>
      <c r="B313" s="2">
        <v>5.2830274016640946</v>
      </c>
      <c r="C313" s="2">
        <v>5.5651463780096604</v>
      </c>
    </row>
    <row r="314" spans="1:3" x14ac:dyDescent="0.3">
      <c r="A314" s="2">
        <v>3.6293342734689609</v>
      </c>
      <c r="B314" s="2">
        <v>7.4528042528281579</v>
      </c>
      <c r="C314" s="2">
        <v>2.5335455371586781</v>
      </c>
    </row>
    <row r="315" spans="1:3" x14ac:dyDescent="0.3">
      <c r="A315" s="2">
        <v>12.401695171227839</v>
      </c>
      <c r="B315" s="2">
        <v>8.5449759616092145</v>
      </c>
      <c r="C315" s="2">
        <v>3.9689122786021902</v>
      </c>
    </row>
    <row r="316" spans="1:3" x14ac:dyDescent="0.3">
      <c r="A316" s="2">
        <v>10.43159965422287</v>
      </c>
      <c r="B316" s="2">
        <v>4.6498370985244506</v>
      </c>
      <c r="C316" s="2">
        <v>3.8159644510554638</v>
      </c>
    </row>
    <row r="317" spans="1:3" x14ac:dyDescent="0.3">
      <c r="A317" s="2">
        <v>9.0694490318867658</v>
      </c>
      <c r="B317" s="2">
        <v>5.9905038781990809</v>
      </c>
      <c r="C317" s="2">
        <v>5.9967177852574221</v>
      </c>
    </row>
    <row r="318" spans="1:3" x14ac:dyDescent="0.3">
      <c r="A318" s="2">
        <v>7.0464796028380183</v>
      </c>
      <c r="B318" s="2">
        <v>7.7314475607443729</v>
      </c>
      <c r="C318" s="2">
        <v>8.0040776110732974</v>
      </c>
    </row>
    <row r="319" spans="1:3" x14ac:dyDescent="0.3">
      <c r="A319" s="2">
        <v>5.4526999920012624</v>
      </c>
      <c r="B319" s="2">
        <v>4.7376799963645224</v>
      </c>
      <c r="C319" s="2">
        <v>3.296359828395159</v>
      </c>
    </row>
    <row r="320" spans="1:3" x14ac:dyDescent="0.3">
      <c r="A320" s="2">
        <v>5.3054139831373082</v>
      </c>
      <c r="B320" s="2">
        <v>8.3604362041867795</v>
      </c>
      <c r="C320" s="2">
        <v>2.9841089133503198</v>
      </c>
    </row>
    <row r="321" spans="1:3" x14ac:dyDescent="0.3">
      <c r="A321" s="2">
        <v>6.0481995725523658</v>
      </c>
      <c r="B321" s="2">
        <v>3.842004373772661</v>
      </c>
      <c r="C321" s="2">
        <v>7.083539813122453</v>
      </c>
    </row>
    <row r="322" spans="1:3" x14ac:dyDescent="0.3">
      <c r="A322" s="2">
        <v>7.9527641816765007</v>
      </c>
      <c r="B322" s="2">
        <v>5.8530143867179119</v>
      </c>
      <c r="C322" s="2">
        <v>3.4014257532562748</v>
      </c>
    </row>
    <row r="323" spans="1:3" x14ac:dyDescent="0.3">
      <c r="A323" s="2">
        <v>9.2290559234056353</v>
      </c>
      <c r="B323" s="2">
        <v>5.796570086203702</v>
      </c>
      <c r="C323" s="2">
        <v>9.773283693130324</v>
      </c>
    </row>
    <row r="324" spans="1:3" x14ac:dyDescent="0.3">
      <c r="A324" s="2">
        <v>8.7759691074092476</v>
      </c>
      <c r="B324" s="2">
        <v>7.2519735529798526</v>
      </c>
      <c r="C324" s="2">
        <v>2.6729935816476931</v>
      </c>
    </row>
    <row r="325" spans="1:3" x14ac:dyDescent="0.3">
      <c r="A325" s="2">
        <v>6.2527955387084946</v>
      </c>
      <c r="B325" s="2">
        <v>4.0354973605801616</v>
      </c>
      <c r="C325" s="2">
        <v>6.4245104967434594</v>
      </c>
    </row>
    <row r="326" spans="1:3" x14ac:dyDescent="0.3">
      <c r="A326" s="2">
        <v>12.223193484384311</v>
      </c>
      <c r="B326" s="2">
        <v>8.1819359298619485</v>
      </c>
      <c r="C326" s="2">
        <v>1.673035016625849</v>
      </c>
    </row>
    <row r="327" spans="1:3" x14ac:dyDescent="0.3">
      <c r="A327" s="2">
        <v>9.4362950393123253</v>
      </c>
      <c r="B327" s="2">
        <v>7.0992931458198916</v>
      </c>
      <c r="C327" s="2">
        <v>2.764313572904848</v>
      </c>
    </row>
    <row r="328" spans="1:3" x14ac:dyDescent="0.3">
      <c r="A328" s="2">
        <v>7.9883958486102049</v>
      </c>
      <c r="B328" s="2">
        <v>6.5448699761888713</v>
      </c>
      <c r="C328" s="2">
        <v>2.8423819398967218</v>
      </c>
    </row>
    <row r="329" spans="1:3" x14ac:dyDescent="0.3">
      <c r="A329" s="2">
        <v>8.4019643161645021</v>
      </c>
      <c r="B329" s="2">
        <v>5.4205143787928733</v>
      </c>
      <c r="C329" s="2">
        <v>3.6447507953578251</v>
      </c>
    </row>
    <row r="330" spans="1:3" x14ac:dyDescent="0.3">
      <c r="A330" s="2">
        <v>7.1112041505625259</v>
      </c>
      <c r="B330" s="2">
        <v>6.6080968595464924</v>
      </c>
      <c r="C330" s="2">
        <v>6.6391730261483257</v>
      </c>
    </row>
    <row r="331" spans="1:3" x14ac:dyDescent="0.3">
      <c r="A331" s="2">
        <v>6.030346453508951</v>
      </c>
      <c r="B331" s="2">
        <v>7.5986480922187276</v>
      </c>
      <c r="C331" s="2">
        <v>4.8185574098075987</v>
      </c>
    </row>
    <row r="332" spans="1:3" x14ac:dyDescent="0.3">
      <c r="A332" s="2">
        <v>6.7319009278272306</v>
      </c>
      <c r="B332" s="2">
        <v>7.6625657357017163</v>
      </c>
      <c r="C332" s="2">
        <v>7.2976001441658651</v>
      </c>
    </row>
    <row r="333" spans="1:3" x14ac:dyDescent="0.3">
      <c r="A333" s="2">
        <v>9.6211700450884905</v>
      </c>
      <c r="B333" s="2">
        <v>5.3779307848858604</v>
      </c>
      <c r="C333" s="2">
        <v>6.5945141613440574</v>
      </c>
    </row>
    <row r="334" spans="1:3" x14ac:dyDescent="0.3">
      <c r="A334" s="2">
        <v>3.3509620514235738</v>
      </c>
      <c r="B334" s="2">
        <v>4.4250204019381183</v>
      </c>
      <c r="C334" s="2">
        <v>2.817627609039989</v>
      </c>
    </row>
    <row r="335" spans="1:3" x14ac:dyDescent="0.3">
      <c r="A335" s="2">
        <v>4.91652944196899</v>
      </c>
      <c r="B335" s="2">
        <v>4.7547236832601536</v>
      </c>
      <c r="C335" s="2">
        <v>4.6753533815642863</v>
      </c>
    </row>
    <row r="336" spans="1:3" x14ac:dyDescent="0.3">
      <c r="A336" s="2">
        <v>4.0213128935608156</v>
      </c>
      <c r="B336" s="2">
        <v>7.748188259542756</v>
      </c>
      <c r="C336" s="2">
        <v>7.4697565736463956</v>
      </c>
    </row>
    <row r="337" spans="1:3" x14ac:dyDescent="0.3">
      <c r="A337" s="2">
        <v>3.9314559178219168</v>
      </c>
      <c r="B337" s="2">
        <v>5.6115964501866102</v>
      </c>
      <c r="C337" s="2">
        <v>3.105844980117038</v>
      </c>
    </row>
    <row r="338" spans="1:3" x14ac:dyDescent="0.3">
      <c r="A338" s="2">
        <v>10.662455281367169</v>
      </c>
      <c r="B338" s="2">
        <v>4.0020934342997103</v>
      </c>
      <c r="C338" s="2">
        <v>6.1057439119148524</v>
      </c>
    </row>
    <row r="339" spans="1:3" x14ac:dyDescent="0.3">
      <c r="A339" s="2">
        <v>9.1346962050754001</v>
      </c>
      <c r="B339" s="2">
        <v>7.2770138152718502</v>
      </c>
      <c r="C339" s="2">
        <v>3.377327334714213</v>
      </c>
    </row>
    <row r="340" spans="1:3" x14ac:dyDescent="0.3">
      <c r="A340" s="2">
        <v>7.4527020313595624</v>
      </c>
      <c r="B340" s="2">
        <v>7.2169283307882326</v>
      </c>
      <c r="C340" s="2">
        <v>2.8995389005038659</v>
      </c>
    </row>
    <row r="341" spans="1:3" x14ac:dyDescent="0.3">
      <c r="A341" s="2">
        <v>4.7185663439148904</v>
      </c>
      <c r="B341" s="2">
        <v>5.3644176657424856</v>
      </c>
      <c r="C341" s="2">
        <v>4.2741006207241359</v>
      </c>
    </row>
    <row r="342" spans="1:3" x14ac:dyDescent="0.3">
      <c r="A342" s="2">
        <v>7.5655522059191203</v>
      </c>
      <c r="B342" s="2">
        <v>3.6815846605167448</v>
      </c>
      <c r="C342" s="2">
        <v>2.57099812233783</v>
      </c>
    </row>
    <row r="343" spans="1:3" x14ac:dyDescent="0.3">
      <c r="A343" s="2">
        <v>7.4481991968202568</v>
      </c>
      <c r="B343" s="2">
        <v>10.755350208017109</v>
      </c>
      <c r="C343" s="2">
        <v>7.5099430921099088</v>
      </c>
    </row>
    <row r="344" spans="1:3" x14ac:dyDescent="0.3">
      <c r="A344" s="2">
        <v>5.4519122743016712</v>
      </c>
      <c r="B344" s="2">
        <v>5.9066240403150827</v>
      </c>
      <c r="C344" s="2">
        <v>0</v>
      </c>
    </row>
    <row r="345" spans="1:3" x14ac:dyDescent="0.3">
      <c r="A345" s="2">
        <v>7.1987769490626636</v>
      </c>
      <c r="B345" s="2">
        <v>6.935843493658318</v>
      </c>
      <c r="C345" s="2">
        <v>5.9924835968530923</v>
      </c>
    </row>
    <row r="346" spans="1:3" x14ac:dyDescent="0.3">
      <c r="A346" s="2">
        <v>6.9835285564290217</v>
      </c>
      <c r="B346" s="2">
        <v>5.670700472195028</v>
      </c>
      <c r="C346" s="2">
        <v>5.9824895851255508</v>
      </c>
    </row>
    <row r="347" spans="1:3" x14ac:dyDescent="0.3">
      <c r="A347" s="2">
        <v>8.4328777964534929</v>
      </c>
      <c r="B347" s="2">
        <v>4.5477817176864894</v>
      </c>
      <c r="C347" s="2">
        <v>3.9401658828681221</v>
      </c>
    </row>
    <row r="348" spans="1:3" x14ac:dyDescent="0.3">
      <c r="A348" s="2">
        <v>8.5791822918831997</v>
      </c>
      <c r="B348" s="2">
        <v>6.7870420124233624</v>
      </c>
      <c r="C348" s="2">
        <v>0.69748523428688625</v>
      </c>
    </row>
    <row r="349" spans="1:3" x14ac:dyDescent="0.3">
      <c r="A349" s="2">
        <v>4.0097167719912097</v>
      </c>
      <c r="B349" s="2">
        <v>3.9831068667234431</v>
      </c>
      <c r="C349" s="2">
        <v>5.8554902755998226</v>
      </c>
    </row>
    <row r="350" spans="1:3" x14ac:dyDescent="0.3">
      <c r="A350" s="2">
        <v>6.8416007293950054</v>
      </c>
      <c r="B350" s="2">
        <v>6.9745263948464782</v>
      </c>
      <c r="C350" s="2">
        <v>3.9610984286116939</v>
      </c>
    </row>
    <row r="351" spans="1:3" x14ac:dyDescent="0.3">
      <c r="A351" s="2">
        <v>8.5085108717084044</v>
      </c>
      <c r="B351" s="2">
        <v>9.4546146411902878</v>
      </c>
      <c r="C351" s="2">
        <v>3.590572835346403</v>
      </c>
    </row>
    <row r="352" spans="1:3" x14ac:dyDescent="0.3">
      <c r="A352" s="2">
        <v>7.6411538566500887</v>
      </c>
      <c r="B352" s="2">
        <v>5.7190208324628893</v>
      </c>
      <c r="C352" s="2">
        <v>7.4010163285736219</v>
      </c>
    </row>
    <row r="353" spans="1:3" x14ac:dyDescent="0.3">
      <c r="A353" s="2">
        <v>10.67507311424548</v>
      </c>
      <c r="B353" s="2">
        <v>4.8779608693417789</v>
      </c>
      <c r="C353" s="2">
        <v>7.9820074691903002</v>
      </c>
    </row>
    <row r="354" spans="1:3" x14ac:dyDescent="0.3">
      <c r="A354" s="2">
        <v>8.7639807419002143</v>
      </c>
      <c r="B354" s="2">
        <v>4.1903483596996924</v>
      </c>
      <c r="C354" s="2">
        <v>3.83144507852789</v>
      </c>
    </row>
    <row r="355" spans="1:3" x14ac:dyDescent="0.3">
      <c r="A355" s="2">
        <v>5.3630806880817614</v>
      </c>
      <c r="B355" s="2">
        <v>5.2430119715479391</v>
      </c>
      <c r="C355" s="2">
        <v>3.2732942539945999</v>
      </c>
    </row>
    <row r="356" spans="1:3" x14ac:dyDescent="0.3">
      <c r="A356" s="2">
        <v>4.3842276087871186</v>
      </c>
      <c r="B356" s="2">
        <v>5.5786390762719194</v>
      </c>
      <c r="C356" s="2">
        <v>0</v>
      </c>
    </row>
    <row r="357" spans="1:3" x14ac:dyDescent="0.3">
      <c r="A357" s="2">
        <v>8.6358883105299551</v>
      </c>
      <c r="B357" s="2">
        <v>8.5507531303140105</v>
      </c>
      <c r="C357" s="2">
        <v>1.541346303275819</v>
      </c>
    </row>
    <row r="358" spans="1:3" x14ac:dyDescent="0.3">
      <c r="A358" s="2">
        <v>3.6548956807214199</v>
      </c>
      <c r="B358" s="2">
        <v>6.7611342397211178</v>
      </c>
      <c r="C358" s="2">
        <v>3.2526926393483522</v>
      </c>
    </row>
    <row r="359" spans="1:3" x14ac:dyDescent="0.3">
      <c r="A359" s="2">
        <v>8.2113816139827751</v>
      </c>
      <c r="B359" s="2">
        <v>7.604432765332291</v>
      </c>
      <c r="C359" s="2">
        <v>7.1583683125243276</v>
      </c>
    </row>
    <row r="360" spans="1:3" x14ac:dyDescent="0.3">
      <c r="A360" s="2">
        <v>11.92516688580741</v>
      </c>
      <c r="B360" s="2">
        <v>4.8966716088587976</v>
      </c>
      <c r="C360" s="2">
        <v>5.8489743999101282</v>
      </c>
    </row>
    <row r="361" spans="1:3" x14ac:dyDescent="0.3">
      <c r="A361" s="2">
        <v>8.1373730380711695</v>
      </c>
      <c r="B361" s="2">
        <v>6.1679161390445989</v>
      </c>
      <c r="C361" s="2">
        <v>7.1219108422034321</v>
      </c>
    </row>
    <row r="362" spans="1:3" x14ac:dyDescent="0.3">
      <c r="A362" s="2">
        <v>6.9217963899709876</v>
      </c>
      <c r="B362" s="2">
        <v>6.7814525301233042</v>
      </c>
      <c r="C362" s="2">
        <v>6.3580061135492736</v>
      </c>
    </row>
    <row r="363" spans="1:3" x14ac:dyDescent="0.3">
      <c r="A363" s="2">
        <v>8.6426529668140155</v>
      </c>
      <c r="B363" s="2">
        <v>2.834576827207401</v>
      </c>
      <c r="C363" s="2">
        <v>4.9016138333515684</v>
      </c>
    </row>
    <row r="364" spans="1:3" x14ac:dyDescent="0.3">
      <c r="A364" s="2">
        <v>7.3513165687670678</v>
      </c>
      <c r="B364" s="2">
        <v>3.0565117499261749</v>
      </c>
      <c r="C364" s="2">
        <v>5.0996946177540456</v>
      </c>
    </row>
    <row r="365" spans="1:3" x14ac:dyDescent="0.3">
      <c r="A365" s="2">
        <v>7.9277995582868721</v>
      </c>
      <c r="B365" s="2">
        <v>3.0045540981983239</v>
      </c>
      <c r="C365" s="2">
        <v>6.0296591011206706</v>
      </c>
    </row>
    <row r="366" spans="1:3" x14ac:dyDescent="0.3">
      <c r="A366" s="2">
        <v>11.948783249856101</v>
      </c>
      <c r="B366" s="2">
        <v>5.4549691680196624</v>
      </c>
      <c r="C366" s="2">
        <v>4.4313060804223481</v>
      </c>
    </row>
    <row r="367" spans="1:3" x14ac:dyDescent="0.3">
      <c r="A367" s="2">
        <v>6.9095107421237518</v>
      </c>
      <c r="B367" s="2">
        <v>7.7511837743767131</v>
      </c>
      <c r="C367" s="2">
        <v>5.5660149152451011</v>
      </c>
    </row>
    <row r="368" spans="1:3" x14ac:dyDescent="0.3">
      <c r="A368" s="2">
        <v>12.366936721188949</v>
      </c>
      <c r="B368" s="2">
        <v>4.3965526553614893</v>
      </c>
      <c r="C368" s="2">
        <v>5.6598031818670158</v>
      </c>
    </row>
    <row r="369" spans="1:3" x14ac:dyDescent="0.3">
      <c r="A369" s="2">
        <v>11.33735412259148</v>
      </c>
      <c r="B369" s="2">
        <v>4.007742913611942</v>
      </c>
      <c r="C369" s="2">
        <v>5.4108311923230819</v>
      </c>
    </row>
    <row r="370" spans="1:3" x14ac:dyDescent="0.3">
      <c r="A370" s="2">
        <v>5.6385111105824528</v>
      </c>
      <c r="B370" s="2">
        <v>5.0393004828980317</v>
      </c>
      <c r="C370" s="2">
        <v>3.7089852100853311</v>
      </c>
    </row>
    <row r="371" spans="1:3" x14ac:dyDescent="0.3">
      <c r="A371" s="2">
        <v>4.3680382884270799</v>
      </c>
      <c r="B371" s="2">
        <v>5.6515077527526154</v>
      </c>
      <c r="C371" s="2">
        <v>7.7107929988631083</v>
      </c>
    </row>
    <row r="372" spans="1:3" x14ac:dyDescent="0.3">
      <c r="A372" s="2">
        <v>4.7516974151289366</v>
      </c>
      <c r="B372" s="2">
        <v>4.7572932239610388</v>
      </c>
      <c r="C372" s="2">
        <v>7.6818895867552044</v>
      </c>
    </row>
    <row r="373" spans="1:3" x14ac:dyDescent="0.3">
      <c r="A373" s="2">
        <v>3.457465429417411</v>
      </c>
      <c r="B373" s="2">
        <v>4.0706867377166436</v>
      </c>
      <c r="C373" s="2">
        <v>2.2464568284421311</v>
      </c>
    </row>
    <row r="374" spans="1:3" x14ac:dyDescent="0.3">
      <c r="A374" s="2">
        <v>4.6797764462510276</v>
      </c>
      <c r="B374" s="2">
        <v>3.8960072438699478</v>
      </c>
      <c r="C374" s="2">
        <v>0.65842951153458795</v>
      </c>
    </row>
    <row r="375" spans="1:3" x14ac:dyDescent="0.3">
      <c r="A375" s="2">
        <v>8.9611763192858049</v>
      </c>
      <c r="B375" s="2">
        <v>10.340419217534279</v>
      </c>
      <c r="C375" s="2">
        <v>3.9730713195204759</v>
      </c>
    </row>
    <row r="376" spans="1:3" x14ac:dyDescent="0.3">
      <c r="A376" s="2">
        <v>4.392485377495456</v>
      </c>
      <c r="B376" s="2">
        <v>3.4261283585126892</v>
      </c>
      <c r="C376" s="2">
        <v>3.2192444831570088</v>
      </c>
    </row>
    <row r="377" spans="1:3" x14ac:dyDescent="0.3">
      <c r="A377" s="2">
        <v>6.5059535643937672</v>
      </c>
      <c r="B377" s="2">
        <v>7.0232583463581637</v>
      </c>
      <c r="C377" s="2">
        <v>1.4425483040685421</v>
      </c>
    </row>
    <row r="378" spans="1:3" x14ac:dyDescent="0.3">
      <c r="A378" s="2">
        <v>10.535208658563951</v>
      </c>
      <c r="B378" s="2">
        <v>9.9395596766202985</v>
      </c>
      <c r="C378" s="2">
        <v>4.1099099943798976</v>
      </c>
    </row>
    <row r="379" spans="1:3" x14ac:dyDescent="0.3">
      <c r="A379" s="2">
        <v>3.5820402427217761</v>
      </c>
      <c r="B379" s="2">
        <v>8.0855720188217592</v>
      </c>
      <c r="C379" s="2">
        <v>7.8968247482956873</v>
      </c>
    </row>
    <row r="380" spans="1:3" x14ac:dyDescent="0.3">
      <c r="A380" s="2">
        <v>10.192092967963211</v>
      </c>
      <c r="B380" s="2">
        <v>3.9095449039692718</v>
      </c>
      <c r="C380" s="2">
        <v>5.8601699070196984</v>
      </c>
    </row>
    <row r="381" spans="1:3" x14ac:dyDescent="0.3">
      <c r="A381" s="2">
        <v>6.2656491762841826</v>
      </c>
      <c r="B381" s="2">
        <v>9.1741396016206114</v>
      </c>
      <c r="C381" s="2">
        <v>6.620062949063751</v>
      </c>
    </row>
    <row r="382" spans="1:3" x14ac:dyDescent="0.3">
      <c r="A382" s="2">
        <v>4.9382109173829747</v>
      </c>
      <c r="B382" s="2">
        <v>3.579831768629278</v>
      </c>
      <c r="C382" s="2">
        <v>7.6776655222503791</v>
      </c>
    </row>
    <row r="383" spans="1:3" x14ac:dyDescent="0.3">
      <c r="A383" s="2">
        <v>9.0758906898103895</v>
      </c>
      <c r="B383" s="2">
        <v>4.8798697424611026</v>
      </c>
      <c r="C383" s="2">
        <v>6.5196710377613476</v>
      </c>
    </row>
    <row r="384" spans="1:3" x14ac:dyDescent="0.3">
      <c r="A384" s="2">
        <v>8.5320084398618192</v>
      </c>
      <c r="B384" s="2">
        <v>5.6227403705332506</v>
      </c>
      <c r="C384" s="2">
        <v>4.5529631932975789</v>
      </c>
    </row>
    <row r="385" spans="1:3" x14ac:dyDescent="0.3">
      <c r="A385" s="2">
        <v>10.94293489951033</v>
      </c>
      <c r="B385" s="2">
        <v>4.007254111818118</v>
      </c>
      <c r="C385" s="2">
        <v>7.3533641143878619</v>
      </c>
    </row>
    <row r="386" spans="1:3" x14ac:dyDescent="0.3">
      <c r="A386" s="2">
        <v>9.4106838664106149</v>
      </c>
      <c r="B386" s="2">
        <v>6.2008464906804663</v>
      </c>
      <c r="C386" s="2">
        <v>3.2222724452179579</v>
      </c>
    </row>
    <row r="387" spans="1:3" x14ac:dyDescent="0.3">
      <c r="A387" s="2">
        <v>10.075121693033861</v>
      </c>
      <c r="B387" s="2">
        <v>4.5645248130983012</v>
      </c>
      <c r="C387" s="2">
        <v>1.70948875788299</v>
      </c>
    </row>
    <row r="388" spans="1:3" x14ac:dyDescent="0.3">
      <c r="A388" s="2">
        <v>6.2668500562223644</v>
      </c>
      <c r="B388" s="2">
        <v>10.068200411012331</v>
      </c>
      <c r="C388" s="2">
        <v>7.8382559910335843</v>
      </c>
    </row>
    <row r="389" spans="1:3" x14ac:dyDescent="0.3">
      <c r="A389" s="2">
        <v>5.4878057914727076</v>
      </c>
      <c r="B389" s="2">
        <v>5.6234501886752373</v>
      </c>
      <c r="C389" s="2">
        <v>8.1292314124395979</v>
      </c>
    </row>
    <row r="390" spans="1:3" x14ac:dyDescent="0.3">
      <c r="A390" s="2">
        <v>9.5533049591204637</v>
      </c>
      <c r="B390" s="2">
        <v>7.7799916993460769</v>
      </c>
      <c r="C390" s="2">
        <v>4.042203124203728</v>
      </c>
    </row>
    <row r="391" spans="1:3" x14ac:dyDescent="0.3">
      <c r="A391" s="2">
        <v>10.11047089822798</v>
      </c>
      <c r="B391" s="2">
        <v>9.5594684902675304</v>
      </c>
      <c r="C391" s="2">
        <v>3.7778550991195838</v>
      </c>
    </row>
    <row r="392" spans="1:3" x14ac:dyDescent="0.3">
      <c r="A392" s="2">
        <v>13.29332210483452</v>
      </c>
      <c r="B392" s="2">
        <v>6.8275984985323701</v>
      </c>
      <c r="C392" s="2">
        <v>6.0727223523687783</v>
      </c>
    </row>
    <row r="393" spans="1:3" x14ac:dyDescent="0.3">
      <c r="A393" s="2">
        <v>7.0686914571722044</v>
      </c>
      <c r="B393" s="2">
        <v>9.9872936399053884</v>
      </c>
      <c r="C393" s="2">
        <v>2.597768645870794</v>
      </c>
    </row>
    <row r="394" spans="1:3" x14ac:dyDescent="0.3">
      <c r="A394" s="2">
        <v>6.8263527252749032</v>
      </c>
      <c r="B394" s="2">
        <v>7.792508037850931</v>
      </c>
      <c r="C394" s="2">
        <v>4.3955566879840973</v>
      </c>
    </row>
    <row r="395" spans="1:3" x14ac:dyDescent="0.3">
      <c r="A395" s="2">
        <v>9.8002084300551324</v>
      </c>
      <c r="B395" s="2">
        <v>6.9402277974616826</v>
      </c>
      <c r="C395" s="2">
        <v>5.3925919773681272</v>
      </c>
    </row>
    <row r="396" spans="1:3" x14ac:dyDescent="0.3">
      <c r="A396" s="2">
        <v>6.6407518773924776</v>
      </c>
      <c r="B396" s="2">
        <v>5.7758584138716973</v>
      </c>
      <c r="C396" s="2">
        <v>3.4484475944851329</v>
      </c>
    </row>
    <row r="397" spans="1:3" x14ac:dyDescent="0.3">
      <c r="A397" s="2">
        <v>11.751524811389061</v>
      </c>
      <c r="B397" s="2">
        <v>3.4642153902880719</v>
      </c>
      <c r="C397" s="2">
        <v>7.2086828501562223</v>
      </c>
    </row>
    <row r="398" spans="1:3" x14ac:dyDescent="0.3">
      <c r="A398" s="2">
        <v>10.69876822454839</v>
      </c>
      <c r="B398" s="2">
        <v>5.6429727178822144</v>
      </c>
      <c r="C398" s="2">
        <v>5.4401282028743241</v>
      </c>
    </row>
    <row r="399" spans="1:3" x14ac:dyDescent="0.3">
      <c r="A399" s="2">
        <v>7.1688054279609847</v>
      </c>
      <c r="B399" s="2">
        <v>4.2341501085859052</v>
      </c>
      <c r="C399" s="2">
        <v>4.6138447547904926</v>
      </c>
    </row>
    <row r="400" spans="1:3" x14ac:dyDescent="0.3">
      <c r="A400" s="2">
        <v>9.555693490884547</v>
      </c>
      <c r="B400" s="2">
        <v>8.3918041252578437</v>
      </c>
      <c r="C400" s="2">
        <v>6.9635192060594786</v>
      </c>
    </row>
    <row r="401" spans="1:3" x14ac:dyDescent="0.3">
      <c r="A401" s="2">
        <v>9.5900457744411156</v>
      </c>
      <c r="B401" s="2">
        <v>4.4117422110081828</v>
      </c>
      <c r="C401" s="2">
        <v>5.2181932904661101</v>
      </c>
    </row>
    <row r="402" spans="1:3" x14ac:dyDescent="0.3">
      <c r="A402" s="2">
        <v>4.7777536831571066</v>
      </c>
      <c r="B402" s="2">
        <v>6.2720270830480818</v>
      </c>
      <c r="C402" s="2">
        <v>3.398188625165544</v>
      </c>
    </row>
    <row r="403" spans="1:3" x14ac:dyDescent="0.3">
      <c r="A403" s="2">
        <v>11.29535383571714</v>
      </c>
      <c r="B403" s="2">
        <v>7.4413296766047257</v>
      </c>
      <c r="C403" s="2">
        <v>7.5557959926744767</v>
      </c>
    </row>
    <row r="404" spans="1:3" x14ac:dyDescent="0.3">
      <c r="A404" s="2">
        <v>7.6551356321567274</v>
      </c>
      <c r="B404" s="2">
        <v>4.2178301662554931</v>
      </c>
      <c r="C404" s="2">
        <v>4.845760467383359</v>
      </c>
    </row>
    <row r="405" spans="1:3" x14ac:dyDescent="0.3">
      <c r="A405" s="2">
        <v>10.32375019066215</v>
      </c>
      <c r="B405" s="2">
        <v>6.1271652500220357</v>
      </c>
      <c r="C405" s="2">
        <v>0</v>
      </c>
    </row>
    <row r="406" spans="1:3" x14ac:dyDescent="0.3">
      <c r="A406" s="2">
        <v>6.5126917932791786</v>
      </c>
      <c r="B406" s="2">
        <v>5.0169389865086877</v>
      </c>
      <c r="C406" s="2">
        <v>5.4891794706244132</v>
      </c>
    </row>
    <row r="407" spans="1:3" x14ac:dyDescent="0.3">
      <c r="A407" s="2">
        <v>11.192409789083801</v>
      </c>
      <c r="B407" s="2">
        <v>6.441588991979005</v>
      </c>
      <c r="C407" s="2">
        <v>0.86977137752670597</v>
      </c>
    </row>
    <row r="408" spans="1:3" x14ac:dyDescent="0.3">
      <c r="A408" s="2">
        <v>6.9279357363128202</v>
      </c>
      <c r="B408" s="2">
        <v>9.8642504910722604</v>
      </c>
      <c r="C408" s="2">
        <v>9.2857562017377191</v>
      </c>
    </row>
    <row r="409" spans="1:3" x14ac:dyDescent="0.3">
      <c r="A409" s="2">
        <v>3.238405204460133</v>
      </c>
      <c r="B409" s="2">
        <v>4.2004962418920178</v>
      </c>
      <c r="C409" s="2">
        <v>5.6608317026240567</v>
      </c>
    </row>
    <row r="410" spans="1:3" x14ac:dyDescent="0.3">
      <c r="A410" s="2">
        <v>11.337828013270309</v>
      </c>
      <c r="B410" s="2">
        <v>3.672457666134719</v>
      </c>
      <c r="C410" s="2">
        <v>5.6608355673498849</v>
      </c>
    </row>
    <row r="411" spans="1:3" x14ac:dyDescent="0.3">
      <c r="A411" s="2">
        <v>4.6430428621729387</v>
      </c>
      <c r="B411" s="2">
        <v>4.6946528554660727</v>
      </c>
      <c r="C411" s="2">
        <v>6.4801121120961582</v>
      </c>
    </row>
    <row r="412" spans="1:3" x14ac:dyDescent="0.3">
      <c r="A412" s="2">
        <v>6.5080754867110189</v>
      </c>
      <c r="B412" s="2">
        <v>2.4906996059824329</v>
      </c>
      <c r="C412" s="2">
        <v>1.1557930802515339</v>
      </c>
    </row>
    <row r="413" spans="1:3" x14ac:dyDescent="0.3">
      <c r="A413" s="2">
        <v>12.12066479548359</v>
      </c>
      <c r="B413" s="2">
        <v>7.5603587197461053</v>
      </c>
      <c r="C413" s="2">
        <v>5.7352362105057821</v>
      </c>
    </row>
    <row r="414" spans="1:3" x14ac:dyDescent="0.3">
      <c r="A414" s="2">
        <v>12.13204612765507</v>
      </c>
      <c r="B414" s="2">
        <v>4.4603374143960979</v>
      </c>
      <c r="C414" s="2">
        <v>2.7686012866288801</v>
      </c>
    </row>
    <row r="415" spans="1:3" x14ac:dyDescent="0.3">
      <c r="A415" s="2">
        <v>8.1228503682823572</v>
      </c>
      <c r="B415" s="2">
        <v>3.401032526539931</v>
      </c>
      <c r="C415" s="2">
        <v>4.0434927843339894</v>
      </c>
    </row>
    <row r="416" spans="1:3" x14ac:dyDescent="0.3">
      <c r="A416" s="2">
        <v>8.5541577979597427</v>
      </c>
      <c r="B416" s="2">
        <v>4.320404683353634</v>
      </c>
      <c r="C416" s="2">
        <v>5.8154489903477513</v>
      </c>
    </row>
    <row r="417" spans="1:3" x14ac:dyDescent="0.3">
      <c r="A417" s="2">
        <v>7.289602999312045</v>
      </c>
      <c r="B417" s="2">
        <v>5.4569822544911846</v>
      </c>
      <c r="C417" s="2">
        <v>3.7362119569953292</v>
      </c>
    </row>
    <row r="418" spans="1:3" x14ac:dyDescent="0.3">
      <c r="A418" s="2">
        <v>6.3407595504183316</v>
      </c>
      <c r="B418" s="2">
        <v>7.6909010315374378</v>
      </c>
      <c r="C418" s="2">
        <v>0.86724090694720246</v>
      </c>
    </row>
    <row r="419" spans="1:3" x14ac:dyDescent="0.3">
      <c r="A419" s="2">
        <v>6.5663390509843707</v>
      </c>
      <c r="B419" s="2">
        <v>7.6916995871750604</v>
      </c>
      <c r="C419" s="2">
        <v>5.9065801855663356</v>
      </c>
    </row>
    <row r="420" spans="1:3" x14ac:dyDescent="0.3">
      <c r="A420" s="2">
        <v>8.8752134246666738</v>
      </c>
      <c r="B420" s="2">
        <v>3.6773013209752059</v>
      </c>
      <c r="C420" s="2">
        <v>6.401278204208074</v>
      </c>
    </row>
    <row r="421" spans="1:3" x14ac:dyDescent="0.3">
      <c r="A421" s="2">
        <v>9.5697285996082613</v>
      </c>
      <c r="B421" s="2">
        <v>4.4930507657016916</v>
      </c>
      <c r="C421" s="2">
        <v>2.5794544838576301</v>
      </c>
    </row>
    <row r="422" spans="1:3" x14ac:dyDescent="0.3">
      <c r="A422" s="2">
        <v>9.9520491535075362</v>
      </c>
      <c r="B422" s="2">
        <v>7.2458693834840737</v>
      </c>
      <c r="C422" s="2">
        <v>3.2462408983256519</v>
      </c>
    </row>
    <row r="423" spans="1:3" x14ac:dyDescent="0.3">
      <c r="A423" s="2">
        <v>9.9321127947370123</v>
      </c>
      <c r="B423" s="2">
        <v>7.4673829009970056</v>
      </c>
      <c r="C423" s="2">
        <v>4.4853176105512089</v>
      </c>
    </row>
    <row r="424" spans="1:3" x14ac:dyDescent="0.3">
      <c r="A424" s="2">
        <v>4.6420968802506604</v>
      </c>
      <c r="B424" s="2">
        <v>4.9911394971019867</v>
      </c>
      <c r="C424" s="2">
        <v>8.9350605704474777</v>
      </c>
    </row>
    <row r="425" spans="1:3" x14ac:dyDescent="0.3">
      <c r="A425" s="2">
        <v>7.5838765112151583</v>
      </c>
      <c r="B425" s="2">
        <v>6.5187139738810664</v>
      </c>
      <c r="C425" s="2">
        <v>8.5356839612657609</v>
      </c>
    </row>
    <row r="426" spans="1:3" x14ac:dyDescent="0.3">
      <c r="A426" s="2">
        <v>4.2016995082673594</v>
      </c>
      <c r="B426" s="2">
        <v>6.334266734592866</v>
      </c>
      <c r="C426" s="2">
        <v>7.187420345706542</v>
      </c>
    </row>
    <row r="427" spans="1:3" x14ac:dyDescent="0.3">
      <c r="A427" s="2">
        <v>7.9548587391147842</v>
      </c>
      <c r="B427" s="2">
        <v>5.0941269860240679</v>
      </c>
      <c r="C427" s="2">
        <v>9.2590088297670317</v>
      </c>
    </row>
    <row r="428" spans="1:3" x14ac:dyDescent="0.3">
      <c r="A428" s="2">
        <v>7.246418966381925</v>
      </c>
      <c r="B428" s="2">
        <v>8.5514149433773738</v>
      </c>
      <c r="C428" s="2">
        <v>7.1624161777468167</v>
      </c>
    </row>
    <row r="429" spans="1:3" x14ac:dyDescent="0.3">
      <c r="A429" s="2">
        <v>11.081896111931741</v>
      </c>
      <c r="B429" s="2">
        <v>10.21164869553019</v>
      </c>
      <c r="C429" s="2">
        <v>5.4724594031573313</v>
      </c>
    </row>
    <row r="430" spans="1:3" x14ac:dyDescent="0.3">
      <c r="A430" s="2">
        <v>6.7017299153438072</v>
      </c>
      <c r="B430" s="2">
        <v>7.4519950983710403</v>
      </c>
      <c r="C430" s="2">
        <v>2.5772108464393182</v>
      </c>
    </row>
    <row r="431" spans="1:3" x14ac:dyDescent="0.3">
      <c r="A431" s="2">
        <v>4.926858379978702</v>
      </c>
      <c r="B431" s="2">
        <v>4.3519798140881507</v>
      </c>
      <c r="C431" s="2">
        <v>1.267629305615785</v>
      </c>
    </row>
    <row r="432" spans="1:3" x14ac:dyDescent="0.3">
      <c r="A432" s="2">
        <v>5.1821468125511272</v>
      </c>
      <c r="B432" s="2">
        <v>5.340415244480627</v>
      </c>
      <c r="C432" s="2">
        <v>3.8720359675933209</v>
      </c>
    </row>
    <row r="433" spans="1:3" x14ac:dyDescent="0.3">
      <c r="A433" s="2">
        <v>9.655947897976823</v>
      </c>
      <c r="B433" s="2">
        <v>4.614284171525358</v>
      </c>
      <c r="C433" s="2">
        <v>5.3013157007562262</v>
      </c>
    </row>
    <row r="434" spans="1:3" x14ac:dyDescent="0.3">
      <c r="A434" s="2">
        <v>8.4506800334232466</v>
      </c>
      <c r="B434" s="2">
        <v>4.7403704718385171</v>
      </c>
      <c r="C434" s="2">
        <v>9.7358845644296377</v>
      </c>
    </row>
    <row r="435" spans="1:3" x14ac:dyDescent="0.3">
      <c r="A435" s="2">
        <v>4.7555446871515494</v>
      </c>
      <c r="B435" s="2">
        <v>7.1719002017315727</v>
      </c>
      <c r="C435" s="2">
        <v>4.4254803742586013</v>
      </c>
    </row>
    <row r="436" spans="1:3" x14ac:dyDescent="0.3">
      <c r="A436" s="2">
        <v>4.5570399645231792</v>
      </c>
      <c r="B436" s="2">
        <v>6.6791081727374806</v>
      </c>
      <c r="C436" s="2">
        <v>5.2208492798407873</v>
      </c>
    </row>
    <row r="437" spans="1:3" x14ac:dyDescent="0.3">
      <c r="A437" s="2">
        <v>9.1117692074484857</v>
      </c>
      <c r="B437" s="2">
        <v>8.7278562946603397</v>
      </c>
      <c r="C437" s="2">
        <v>5.6246165142312181</v>
      </c>
    </row>
    <row r="438" spans="1:3" x14ac:dyDescent="0.3">
      <c r="A438" s="2">
        <v>4.4132973763068239</v>
      </c>
      <c r="B438" s="2">
        <v>9.0935413805314305</v>
      </c>
      <c r="C438" s="2">
        <v>5.3321089360214478</v>
      </c>
    </row>
    <row r="439" spans="1:3" x14ac:dyDescent="0.3">
      <c r="A439" s="2">
        <v>10.272741914943589</v>
      </c>
      <c r="B439" s="2">
        <v>8.7717513630684039</v>
      </c>
      <c r="C439" s="2">
        <v>8.6333168163574854</v>
      </c>
    </row>
    <row r="440" spans="1:3" x14ac:dyDescent="0.3">
      <c r="A440" s="2">
        <v>9.1568315541922889</v>
      </c>
      <c r="B440" s="2">
        <v>4.8809444161878703</v>
      </c>
      <c r="C440" s="2">
        <v>7.6885613371356696</v>
      </c>
    </row>
    <row r="441" spans="1:3" x14ac:dyDescent="0.3">
      <c r="A441" s="2">
        <v>4.5230316740214374</v>
      </c>
      <c r="B441" s="2">
        <v>7.621108175133215</v>
      </c>
      <c r="C441" s="2">
        <v>4.910927845769435</v>
      </c>
    </row>
    <row r="442" spans="1:3" x14ac:dyDescent="0.3">
      <c r="A442" s="2">
        <v>4.5659587110167532</v>
      </c>
      <c r="B442" s="2">
        <v>7.4932295482558633</v>
      </c>
      <c r="C442" s="2">
        <v>3.589181332515873</v>
      </c>
    </row>
    <row r="443" spans="1:3" x14ac:dyDescent="0.3">
      <c r="A443" s="2">
        <v>13.124479059539871</v>
      </c>
      <c r="B443" s="2">
        <v>8.6343828987641889</v>
      </c>
      <c r="C443" s="2">
        <v>3.7180913291817679</v>
      </c>
    </row>
    <row r="444" spans="1:3" x14ac:dyDescent="0.3">
      <c r="A444" s="2">
        <v>6.8395900587375493</v>
      </c>
      <c r="B444" s="2">
        <v>7.0433797438682948</v>
      </c>
      <c r="C444" s="2">
        <v>4.9688910347793138</v>
      </c>
    </row>
    <row r="445" spans="1:3" x14ac:dyDescent="0.3">
      <c r="A445" s="2">
        <v>6.8182791364785009</v>
      </c>
      <c r="B445" s="2">
        <v>5.2265422401729591</v>
      </c>
      <c r="C445" s="2">
        <v>3.4073162103974619</v>
      </c>
    </row>
    <row r="446" spans="1:3" x14ac:dyDescent="0.3">
      <c r="A446" s="2">
        <v>10.17410712178709</v>
      </c>
      <c r="B446" s="2">
        <v>7.5306813669272206</v>
      </c>
      <c r="C446" s="2">
        <v>6.8014569073007554</v>
      </c>
    </row>
    <row r="447" spans="1:3" x14ac:dyDescent="0.3">
      <c r="A447" s="2">
        <v>12.06289490897019</v>
      </c>
      <c r="B447" s="2">
        <v>5.8695198256767043</v>
      </c>
      <c r="C447" s="2">
        <v>3.4809496206845338</v>
      </c>
    </row>
    <row r="448" spans="1:3" x14ac:dyDescent="0.3">
      <c r="A448" s="2">
        <v>13.099078615787739</v>
      </c>
      <c r="B448" s="2">
        <v>8.1108804948484057</v>
      </c>
      <c r="C448" s="2">
        <v>8.1663784988982346</v>
      </c>
    </row>
    <row r="449" spans="1:3" x14ac:dyDescent="0.3">
      <c r="A449" s="2">
        <v>9.5791216505645984</v>
      </c>
      <c r="B449" s="2">
        <v>6.1078870892339401</v>
      </c>
      <c r="C449" s="2">
        <v>6.3493520107847496</v>
      </c>
    </row>
    <row r="450" spans="1:3" x14ac:dyDescent="0.3">
      <c r="A450" s="2">
        <v>6.8512963670635543</v>
      </c>
      <c r="B450" s="2">
        <v>3.9324231890416792</v>
      </c>
      <c r="C450" s="2">
        <v>2.156633196729588</v>
      </c>
    </row>
    <row r="451" spans="1:3" x14ac:dyDescent="0.3">
      <c r="A451" s="2">
        <v>4.549614855798529</v>
      </c>
      <c r="B451" s="2">
        <v>8.1063121378968841</v>
      </c>
      <c r="C451" s="2">
        <v>7.9927036631157016</v>
      </c>
    </row>
    <row r="452" spans="1:3" x14ac:dyDescent="0.3">
      <c r="A452" s="2">
        <v>9.8074358264218233</v>
      </c>
      <c r="B452" s="2">
        <v>4.3960483918651656</v>
      </c>
      <c r="C452" s="2">
        <v>2.121734008938307</v>
      </c>
    </row>
    <row r="453" spans="1:3" x14ac:dyDescent="0.3">
      <c r="A453" s="2">
        <v>8.0166869675008385</v>
      </c>
      <c r="B453" s="2">
        <v>10.497675268905629</v>
      </c>
      <c r="C453" s="2">
        <v>8.2725785598220423</v>
      </c>
    </row>
    <row r="454" spans="1:3" x14ac:dyDescent="0.3">
      <c r="A454" s="2">
        <v>7.1394859649316764</v>
      </c>
      <c r="B454" s="2">
        <v>5.7399968257055782</v>
      </c>
      <c r="C454" s="2">
        <v>6.4629810044300866</v>
      </c>
    </row>
    <row r="455" spans="1:3" x14ac:dyDescent="0.3">
      <c r="A455" s="2">
        <v>11.352573558720479</v>
      </c>
      <c r="B455" s="2">
        <v>6.8527293625493044</v>
      </c>
      <c r="C455" s="2">
        <v>9.6081161334973437</v>
      </c>
    </row>
    <row r="456" spans="1:3" x14ac:dyDescent="0.3">
      <c r="A456" s="2">
        <v>4.8652368453967716</v>
      </c>
      <c r="B456" s="2">
        <v>7.0781812607836914</v>
      </c>
      <c r="C456" s="2">
        <v>0</v>
      </c>
    </row>
    <row r="457" spans="1:3" x14ac:dyDescent="0.3">
      <c r="A457" s="2">
        <v>7.5721407324463037</v>
      </c>
      <c r="B457" s="2">
        <v>4.6888697055089006</v>
      </c>
      <c r="C457" s="2">
        <v>5.1980823454630301</v>
      </c>
    </row>
    <row r="458" spans="1:3" x14ac:dyDescent="0.3">
      <c r="A458" s="2">
        <v>3.2557789810843198</v>
      </c>
      <c r="B458" s="2">
        <v>3.8490897618155842</v>
      </c>
      <c r="C458" s="2">
        <v>4.8458055392201667</v>
      </c>
    </row>
    <row r="459" spans="1:3" x14ac:dyDescent="0.3">
      <c r="A459" s="2">
        <v>7.4174221997717904</v>
      </c>
      <c r="B459" s="2">
        <v>6.6576912456228623</v>
      </c>
      <c r="C459" s="2">
        <v>3.6003870872111912</v>
      </c>
    </row>
    <row r="460" spans="1:3" x14ac:dyDescent="0.3">
      <c r="A460" s="2">
        <v>4.1830382644352557</v>
      </c>
      <c r="B460" s="2">
        <v>7.2092700197737321</v>
      </c>
      <c r="C460" s="2">
        <v>6.9780078746591432</v>
      </c>
    </row>
    <row r="461" spans="1:3" x14ac:dyDescent="0.3">
      <c r="A461" s="2">
        <v>4.9449395426976714</v>
      </c>
      <c r="B461" s="2">
        <v>3.6385223630000989</v>
      </c>
      <c r="C461" s="2">
        <v>4.2265115849562704</v>
      </c>
    </row>
    <row r="462" spans="1:3" x14ac:dyDescent="0.3">
      <c r="A462" s="2">
        <v>4.9316137594930964</v>
      </c>
      <c r="B462" s="2">
        <v>5.4648509908170002</v>
      </c>
      <c r="C462" s="2">
        <v>7.925803792798658</v>
      </c>
    </row>
    <row r="463" spans="1:3" x14ac:dyDescent="0.3">
      <c r="A463" s="2">
        <v>8.6889772235281733</v>
      </c>
      <c r="B463" s="2">
        <v>5.3277823053317546</v>
      </c>
      <c r="C463" s="2">
        <v>2.946270214417487</v>
      </c>
    </row>
    <row r="464" spans="1:3" x14ac:dyDescent="0.3">
      <c r="A464" s="2">
        <v>9.5109239339503517</v>
      </c>
      <c r="B464" s="2">
        <v>6.6284162885634483</v>
      </c>
      <c r="C464" s="2">
        <v>0.87473307345464502</v>
      </c>
    </row>
    <row r="465" spans="1:3" x14ac:dyDescent="0.3">
      <c r="A465" s="2">
        <v>8.1940086315506644</v>
      </c>
      <c r="B465" s="2">
        <v>9.5077550015492474</v>
      </c>
      <c r="C465" s="2">
        <v>3.3336225519196758</v>
      </c>
    </row>
    <row r="466" spans="1:3" x14ac:dyDescent="0.3">
      <c r="A466" s="2">
        <v>12.39027605611404</v>
      </c>
      <c r="B466" s="2">
        <v>6.1171907768446374</v>
      </c>
      <c r="C466" s="2">
        <v>6.1042409645116553</v>
      </c>
    </row>
    <row r="467" spans="1:3" x14ac:dyDescent="0.3">
      <c r="A467" s="2">
        <v>6.8431185122473464</v>
      </c>
      <c r="B467" s="2">
        <v>7.8859340430646334</v>
      </c>
      <c r="C467" s="2">
        <v>7.0039243794516617</v>
      </c>
    </row>
    <row r="468" spans="1:3" x14ac:dyDescent="0.3">
      <c r="A468" s="2">
        <v>6.2913289307102342</v>
      </c>
      <c r="B468" s="2">
        <v>4.5950479989756969</v>
      </c>
      <c r="C468" s="2">
        <v>2.8915676763601308</v>
      </c>
    </row>
    <row r="469" spans="1:3" x14ac:dyDescent="0.3">
      <c r="A469" s="2">
        <v>10.827065449588961</v>
      </c>
      <c r="B469" s="2">
        <v>3.4140896638328422</v>
      </c>
      <c r="C469" s="2">
        <v>5.9938064936003181</v>
      </c>
    </row>
    <row r="470" spans="1:3" x14ac:dyDescent="0.3">
      <c r="A470" s="2">
        <v>5.8539687887506737</v>
      </c>
      <c r="B470" s="2">
        <v>5.9457504159169217</v>
      </c>
      <c r="C470" s="2">
        <v>5.6379836144652131</v>
      </c>
    </row>
    <row r="471" spans="1:3" x14ac:dyDescent="0.3">
      <c r="A471" s="2">
        <v>12.4155694086819</v>
      </c>
      <c r="B471" s="2">
        <v>7.8155755859473954</v>
      </c>
      <c r="C471" s="2">
        <v>5.3353547336928839</v>
      </c>
    </row>
    <row r="472" spans="1:3" x14ac:dyDescent="0.3">
      <c r="A472" s="2">
        <v>3.2819792974527271</v>
      </c>
      <c r="B472" s="2">
        <v>6.5166089932187328</v>
      </c>
      <c r="C472" s="2">
        <v>8.5708795207827055</v>
      </c>
    </row>
    <row r="473" spans="1:3" x14ac:dyDescent="0.3">
      <c r="A473" s="2">
        <v>12.58510335202137</v>
      </c>
      <c r="B473" s="2">
        <v>4.4637118769475226</v>
      </c>
      <c r="C473" s="2">
        <v>4.2979501815913599</v>
      </c>
    </row>
    <row r="474" spans="1:3" x14ac:dyDescent="0.3">
      <c r="A474" s="2">
        <v>3.9735586755312751</v>
      </c>
      <c r="B474" s="2">
        <v>2.390199056980955</v>
      </c>
      <c r="C474" s="2">
        <v>2.9304193633826312</v>
      </c>
    </row>
    <row r="475" spans="1:3" x14ac:dyDescent="0.3">
      <c r="A475" s="2">
        <v>11.13001152835699</v>
      </c>
      <c r="B475" s="2">
        <v>5.5802132183530002</v>
      </c>
      <c r="C475" s="2">
        <v>5.0591532551262581</v>
      </c>
    </row>
    <row r="476" spans="1:3" x14ac:dyDescent="0.3">
      <c r="A476" s="2">
        <v>7.8053430134753778</v>
      </c>
      <c r="B476" s="2">
        <v>3.4011302396816681</v>
      </c>
      <c r="C476" s="2">
        <v>4.5588078685741413</v>
      </c>
    </row>
    <row r="477" spans="1:3" x14ac:dyDescent="0.3">
      <c r="A477" s="2">
        <v>13.41954631656262</v>
      </c>
      <c r="B477" s="2">
        <v>8.073617156144989</v>
      </c>
      <c r="C477" s="2">
        <v>6.798153975522486</v>
      </c>
    </row>
    <row r="478" spans="1:3" x14ac:dyDescent="0.3">
      <c r="A478" s="2">
        <v>4.4268381280839124</v>
      </c>
      <c r="B478" s="2">
        <v>9.2673801812159269</v>
      </c>
      <c r="C478" s="2">
        <v>4.9162754040550176</v>
      </c>
    </row>
    <row r="479" spans="1:3" x14ac:dyDescent="0.3">
      <c r="A479" s="2">
        <v>7.9849138335390997</v>
      </c>
      <c r="B479" s="2">
        <v>7.3089284187172501</v>
      </c>
      <c r="C479" s="2">
        <v>5.4316860240908706</v>
      </c>
    </row>
    <row r="480" spans="1:3" x14ac:dyDescent="0.3">
      <c r="A480" s="2">
        <v>12.569728100561621</v>
      </c>
      <c r="B480" s="2">
        <v>5.2770655737909777</v>
      </c>
      <c r="C480" s="2">
        <v>4.298195308855659</v>
      </c>
    </row>
    <row r="481" spans="1:3" x14ac:dyDescent="0.3">
      <c r="A481" s="2">
        <v>7.7742557900466887</v>
      </c>
      <c r="B481" s="2">
        <v>7.5534593056604891</v>
      </c>
      <c r="C481" s="2">
        <v>0.1002176489660949</v>
      </c>
    </row>
    <row r="482" spans="1:3" x14ac:dyDescent="0.3">
      <c r="A482" s="2">
        <v>8.5354906734785079</v>
      </c>
      <c r="B482" s="2">
        <v>9.2815724783314177</v>
      </c>
      <c r="C482" s="2">
        <v>5.2824107801768836</v>
      </c>
    </row>
    <row r="483" spans="1:3" x14ac:dyDescent="0.3">
      <c r="A483" s="2">
        <v>9.0675465411061094</v>
      </c>
      <c r="B483" s="2">
        <v>4.9495118220623269</v>
      </c>
      <c r="C483" s="2">
        <v>7.3802945704546907</v>
      </c>
    </row>
    <row r="484" spans="1:3" x14ac:dyDescent="0.3">
      <c r="A484" s="2">
        <v>7.3278944556703589</v>
      </c>
      <c r="B484" s="2">
        <v>4.3313321102959694</v>
      </c>
      <c r="C484" s="2">
        <v>6.126125584590973</v>
      </c>
    </row>
    <row r="485" spans="1:3" x14ac:dyDescent="0.3">
      <c r="A485" s="2">
        <v>8.5214419588841217</v>
      </c>
      <c r="B485" s="2">
        <v>5.3070487724637454</v>
      </c>
      <c r="C485" s="2">
        <v>1.719038589487373</v>
      </c>
    </row>
    <row r="486" spans="1:3" x14ac:dyDescent="0.3">
      <c r="A486" s="2">
        <v>8.2008278176320033</v>
      </c>
      <c r="B486" s="2">
        <v>5.5150002702574641</v>
      </c>
      <c r="C486" s="2">
        <v>4.189093266809512</v>
      </c>
    </row>
    <row r="487" spans="1:3" x14ac:dyDescent="0.3">
      <c r="A487" s="2">
        <v>11.274638577595891</v>
      </c>
      <c r="B487" s="2">
        <v>4.7608054286228576</v>
      </c>
      <c r="C487" s="2">
        <v>4.3765551475751208</v>
      </c>
    </row>
    <row r="488" spans="1:3" x14ac:dyDescent="0.3">
      <c r="A488" s="2">
        <v>4.0120870990054591</v>
      </c>
      <c r="B488" s="2">
        <v>6.5413812068622637</v>
      </c>
      <c r="C488" s="2">
        <v>6.0638506124043028</v>
      </c>
    </row>
    <row r="489" spans="1:3" x14ac:dyDescent="0.3">
      <c r="A489" s="2">
        <v>6.2596885600252996</v>
      </c>
      <c r="B489" s="2">
        <v>6.4021087928584661</v>
      </c>
      <c r="C489" s="2">
        <v>5.2024033570610726</v>
      </c>
    </row>
    <row r="490" spans="1:3" x14ac:dyDescent="0.3">
      <c r="A490" s="2">
        <v>12.12795422139096</v>
      </c>
      <c r="B490" s="2">
        <v>6.6966730077343541</v>
      </c>
      <c r="C490" s="2">
        <v>0</v>
      </c>
    </row>
    <row r="491" spans="1:3" x14ac:dyDescent="0.3">
      <c r="A491" s="2">
        <v>11.117637011848791</v>
      </c>
      <c r="B491" s="2">
        <v>6.5293993432203674</v>
      </c>
      <c r="C491" s="2">
        <v>2.738762120615589</v>
      </c>
    </row>
    <row r="492" spans="1:3" x14ac:dyDescent="0.3">
      <c r="A492" s="2">
        <v>7.3349261953120282</v>
      </c>
      <c r="B492" s="2">
        <v>5.1681430597276661</v>
      </c>
      <c r="C492" s="2">
        <v>4.1366871925276358</v>
      </c>
    </row>
    <row r="493" spans="1:3" x14ac:dyDescent="0.3">
      <c r="A493" s="2">
        <v>8.4651138038891336</v>
      </c>
      <c r="B493" s="2">
        <v>5.8659195144668219</v>
      </c>
      <c r="C493" s="2">
        <v>3.5341093166031481</v>
      </c>
    </row>
    <row r="494" spans="1:3" x14ac:dyDescent="0.3">
      <c r="A494" s="2">
        <v>6.2356455018886336</v>
      </c>
      <c r="B494" s="2">
        <v>7.8590757054711604</v>
      </c>
      <c r="C494" s="2">
        <v>4.4740309471700606</v>
      </c>
    </row>
    <row r="495" spans="1:3" x14ac:dyDescent="0.3">
      <c r="A495" s="2">
        <v>5.576422523923271</v>
      </c>
      <c r="B495" s="2">
        <v>4.9148491941192614</v>
      </c>
      <c r="C495" s="2">
        <v>3.9020640107832811</v>
      </c>
    </row>
    <row r="496" spans="1:3" x14ac:dyDescent="0.3">
      <c r="A496" s="2">
        <v>7.3858241804091707</v>
      </c>
      <c r="B496" s="2">
        <v>6.8726587726977701</v>
      </c>
      <c r="C496" s="2">
        <v>4.3988250104341979</v>
      </c>
    </row>
    <row r="497" spans="1:3" x14ac:dyDescent="0.3">
      <c r="A497" s="2">
        <v>6.7162958378167339</v>
      </c>
      <c r="B497" s="2">
        <v>7.2037841233513724</v>
      </c>
      <c r="C497" s="2">
        <v>6.5572866271908836</v>
      </c>
    </row>
    <row r="498" spans="1:3" x14ac:dyDescent="0.3">
      <c r="A498" s="2">
        <v>8.1960801274541062</v>
      </c>
      <c r="B498" s="2">
        <v>6.7253591683186631</v>
      </c>
      <c r="C498" s="2">
        <v>7.3441728812747371</v>
      </c>
    </row>
    <row r="499" spans="1:3" x14ac:dyDescent="0.3">
      <c r="A499" s="2">
        <v>4.4775817519658663</v>
      </c>
      <c r="B499" s="2">
        <v>9.9519218064823711</v>
      </c>
      <c r="C499" s="2">
        <v>4.5644635744463526</v>
      </c>
    </row>
    <row r="500" spans="1:3" x14ac:dyDescent="0.3">
      <c r="A500" s="2">
        <v>12.711075034710181</v>
      </c>
      <c r="B500" s="2">
        <v>6.9380530996909577</v>
      </c>
      <c r="C500" s="2">
        <v>6.1293840590454973</v>
      </c>
    </row>
    <row r="501" spans="1:3" x14ac:dyDescent="0.3">
      <c r="A501" s="2">
        <v>13.10735470396108</v>
      </c>
      <c r="B501" s="2">
        <v>7.0877574618783887</v>
      </c>
      <c r="C501" s="2">
        <v>5.780608916347572</v>
      </c>
    </row>
    <row r="502" spans="1:3" x14ac:dyDescent="0.3">
      <c r="A502" s="2">
        <v>9.0879398673166527</v>
      </c>
      <c r="B502" s="2">
        <v>3.758044581898258</v>
      </c>
      <c r="C502" s="2">
        <v>7.7768309866136507</v>
      </c>
    </row>
    <row r="503" spans="1:3" x14ac:dyDescent="0.3">
      <c r="A503" s="2">
        <v>7.8624313335533751</v>
      </c>
      <c r="B503" s="2">
        <v>6.8296836964136576</v>
      </c>
      <c r="C503" s="2">
        <v>6.30964347633138</v>
      </c>
    </row>
    <row r="504" spans="1:3" x14ac:dyDescent="0.3">
      <c r="A504" s="2">
        <v>6.4461797190910026</v>
      </c>
      <c r="B504" s="2">
        <v>7.8299791144573296</v>
      </c>
      <c r="C504" s="2">
        <v>9.2394065372202192</v>
      </c>
    </row>
    <row r="505" spans="1:3" x14ac:dyDescent="0.3">
      <c r="A505" s="2">
        <v>10.18482538439828</v>
      </c>
      <c r="B505" s="2">
        <v>6.1476787525027969</v>
      </c>
      <c r="C505" s="2">
        <v>6.3651351315626457</v>
      </c>
    </row>
    <row r="506" spans="1:3" x14ac:dyDescent="0.3">
      <c r="A506" s="2">
        <v>8.9754449873424491</v>
      </c>
      <c r="B506" s="2">
        <v>5.1157127348987643</v>
      </c>
      <c r="C506" s="2">
        <v>1.5026474105073919</v>
      </c>
    </row>
    <row r="507" spans="1:3" x14ac:dyDescent="0.3">
      <c r="A507" s="2">
        <v>5.3602898836379298</v>
      </c>
      <c r="B507" s="2">
        <v>4.832163809777553</v>
      </c>
      <c r="C507" s="2">
        <v>7.7211528153271631</v>
      </c>
    </row>
    <row r="508" spans="1:3" x14ac:dyDescent="0.3">
      <c r="A508" s="2">
        <v>11.42296482439939</v>
      </c>
      <c r="B508" s="2">
        <v>9.6821127415164021</v>
      </c>
      <c r="C508" s="2">
        <v>6.8322778363328656</v>
      </c>
    </row>
    <row r="509" spans="1:3" x14ac:dyDescent="0.3">
      <c r="A509" s="2">
        <v>10.28021358901891</v>
      </c>
      <c r="B509" s="2">
        <v>7.3797843501129528</v>
      </c>
      <c r="C509" s="2">
        <v>6.7872461849715942</v>
      </c>
    </row>
    <row r="510" spans="1:3" x14ac:dyDescent="0.3">
      <c r="A510" s="2">
        <v>12.115216196536149</v>
      </c>
      <c r="B510" s="2">
        <v>6.9213710369595658</v>
      </c>
      <c r="C510" s="2">
        <v>2.145548156628585</v>
      </c>
    </row>
    <row r="511" spans="1:3" x14ac:dyDescent="0.3">
      <c r="A511" s="2">
        <v>9.3268896007030779</v>
      </c>
      <c r="B511" s="2">
        <v>3.5618240249684869</v>
      </c>
      <c r="C511" s="2">
        <v>7.1971177041684289</v>
      </c>
    </row>
    <row r="512" spans="1:3" x14ac:dyDescent="0.3">
      <c r="A512" s="2">
        <v>8.4146294556113936</v>
      </c>
      <c r="B512" s="2">
        <v>7.5037127661527441</v>
      </c>
      <c r="C512" s="2">
        <v>6.9741157789493959</v>
      </c>
    </row>
    <row r="513" spans="1:3" x14ac:dyDescent="0.3">
      <c r="A513" s="2">
        <v>7.1029218746051397</v>
      </c>
      <c r="B513" s="2">
        <v>5.0533883063979577</v>
      </c>
      <c r="C513" s="2">
        <v>1.961562826372254</v>
      </c>
    </row>
    <row r="514" spans="1:3" x14ac:dyDescent="0.3">
      <c r="A514" s="2">
        <v>11.786627274702569</v>
      </c>
      <c r="B514" s="2">
        <v>4.2497554777793338</v>
      </c>
      <c r="C514" s="2">
        <v>6.38844439798231</v>
      </c>
    </row>
    <row r="515" spans="1:3" x14ac:dyDescent="0.3">
      <c r="A515" s="2">
        <v>10.79468232802655</v>
      </c>
      <c r="B515" s="2">
        <v>6.5442577043541492</v>
      </c>
      <c r="C515" s="2">
        <v>5.5148916846775942</v>
      </c>
    </row>
    <row r="516" spans="1:3" x14ac:dyDescent="0.3">
      <c r="A516" s="2">
        <v>4.0082941666141876</v>
      </c>
      <c r="B516" s="2">
        <v>5.9261188982842521</v>
      </c>
      <c r="C516" s="2">
        <v>4.919535851419842</v>
      </c>
    </row>
    <row r="517" spans="1:3" x14ac:dyDescent="0.3">
      <c r="A517" s="2">
        <v>3.6517475795315351</v>
      </c>
      <c r="B517" s="2">
        <v>7.3812065679581789</v>
      </c>
      <c r="C517" s="2">
        <v>4.7239344382929342</v>
      </c>
    </row>
    <row r="518" spans="1:3" x14ac:dyDescent="0.3">
      <c r="A518" s="2">
        <v>6.8524969074046336</v>
      </c>
      <c r="B518" s="2">
        <v>6.8813758708449253</v>
      </c>
      <c r="C518" s="2">
        <v>0.90075576830733484</v>
      </c>
    </row>
    <row r="519" spans="1:3" x14ac:dyDescent="0.3">
      <c r="A519" s="2">
        <v>10.15002560243785</v>
      </c>
      <c r="B519" s="2">
        <v>7.846157321805336</v>
      </c>
      <c r="C519" s="2">
        <v>4.7557346183725864</v>
      </c>
    </row>
    <row r="520" spans="1:3" x14ac:dyDescent="0.3">
      <c r="A520" s="2">
        <v>13.150413069864101</v>
      </c>
      <c r="B520" s="2">
        <v>6.9089215333831451</v>
      </c>
      <c r="C520" s="2">
        <v>6.529825065832485</v>
      </c>
    </row>
    <row r="521" spans="1:3" x14ac:dyDescent="0.3">
      <c r="A521" s="2">
        <v>5.2509041770695148</v>
      </c>
      <c r="B521" s="2">
        <v>9.8865910155688574</v>
      </c>
      <c r="C521" s="2">
        <v>3.1696616986455699</v>
      </c>
    </row>
    <row r="522" spans="1:3" x14ac:dyDescent="0.3">
      <c r="A522" s="2">
        <v>8.2720861456316577</v>
      </c>
      <c r="B522" s="2">
        <v>7.1833171667937297</v>
      </c>
      <c r="C522" s="2">
        <v>4.7807306430753131</v>
      </c>
    </row>
    <row r="523" spans="1:3" x14ac:dyDescent="0.3">
      <c r="A523" s="2">
        <v>6.8786292517803638</v>
      </c>
      <c r="B523" s="2">
        <v>6.8641136347190157</v>
      </c>
      <c r="C523" s="2">
        <v>3.8322766939707522</v>
      </c>
    </row>
    <row r="524" spans="1:3" x14ac:dyDescent="0.3">
      <c r="A524" s="2">
        <v>12.586057176597739</v>
      </c>
      <c r="B524" s="2">
        <v>7.6926338961325591</v>
      </c>
      <c r="C524" s="2">
        <v>3.9991790368369768</v>
      </c>
    </row>
    <row r="525" spans="1:3" x14ac:dyDescent="0.3">
      <c r="A525" s="2">
        <v>10.502792454444791</v>
      </c>
      <c r="B525" s="2">
        <v>5.4790511109724838</v>
      </c>
      <c r="C525" s="2">
        <v>1.0427263388608481</v>
      </c>
    </row>
    <row r="526" spans="1:3" x14ac:dyDescent="0.3">
      <c r="A526" s="2">
        <v>10.45867660498191</v>
      </c>
      <c r="B526" s="2">
        <v>6.8156832066249962</v>
      </c>
      <c r="C526" s="2">
        <v>6.2869786888197288</v>
      </c>
    </row>
    <row r="527" spans="1:3" x14ac:dyDescent="0.3">
      <c r="A527" s="2">
        <v>7.4176297487565988</v>
      </c>
      <c r="B527" s="2">
        <v>9.2263320479509954</v>
      </c>
      <c r="C527" s="2">
        <v>4.9404590989477812</v>
      </c>
    </row>
    <row r="528" spans="1:3" x14ac:dyDescent="0.3">
      <c r="A528" s="2">
        <v>7.082069999809991</v>
      </c>
      <c r="B528" s="2">
        <v>5.1572982615371163</v>
      </c>
      <c r="C528" s="2">
        <v>3.1839657798782359</v>
      </c>
    </row>
    <row r="529" spans="1:3" x14ac:dyDescent="0.3">
      <c r="A529" s="2">
        <v>6.20878818333345</v>
      </c>
      <c r="B529" s="2">
        <v>3.031684171665995</v>
      </c>
      <c r="C529" s="2">
        <v>7.4144968880343747</v>
      </c>
    </row>
    <row r="530" spans="1:3" x14ac:dyDescent="0.3">
      <c r="A530" s="2">
        <v>4.1841173464186348</v>
      </c>
      <c r="B530" s="2">
        <v>5.3354120757215284</v>
      </c>
      <c r="C530" s="2">
        <v>6.6989341549087333</v>
      </c>
    </row>
    <row r="531" spans="1:3" x14ac:dyDescent="0.3">
      <c r="A531" s="2">
        <v>10.777670871491541</v>
      </c>
      <c r="B531" s="2">
        <v>6.1943679890669943</v>
      </c>
      <c r="C531" s="2">
        <v>4.7597003205053863</v>
      </c>
    </row>
    <row r="532" spans="1:3" x14ac:dyDescent="0.3">
      <c r="A532" s="2">
        <v>10.17519806331816</v>
      </c>
      <c r="B532" s="2">
        <v>5.9931115512643451</v>
      </c>
      <c r="C532" s="2">
        <v>7.5244009309408613</v>
      </c>
    </row>
    <row r="533" spans="1:3" x14ac:dyDescent="0.3">
      <c r="A533" s="2">
        <v>14.04365471901329</v>
      </c>
      <c r="B533" s="2">
        <v>5.2113895645580186</v>
      </c>
      <c r="C533" s="2">
        <v>8.2248247854304584</v>
      </c>
    </row>
    <row r="534" spans="1:3" x14ac:dyDescent="0.3">
      <c r="A534" s="2">
        <v>13.66038657713019</v>
      </c>
      <c r="B534" s="2">
        <v>3.8525964031893492</v>
      </c>
      <c r="C534" s="2">
        <v>2.924696507519009</v>
      </c>
    </row>
    <row r="535" spans="1:3" x14ac:dyDescent="0.3">
      <c r="A535" s="2">
        <v>7.9959107897351656</v>
      </c>
      <c r="B535" s="2">
        <v>5.2790473134433231</v>
      </c>
      <c r="C535" s="2">
        <v>2.5579988715373001</v>
      </c>
    </row>
    <row r="536" spans="1:3" x14ac:dyDescent="0.3">
      <c r="A536" s="2">
        <v>9.7277444623913318</v>
      </c>
      <c r="B536" s="2">
        <v>7.7790399173184541</v>
      </c>
      <c r="C536" s="2">
        <v>0.21258605120699239</v>
      </c>
    </row>
    <row r="537" spans="1:3" x14ac:dyDescent="0.3">
      <c r="A537" s="2">
        <v>12.01317968118563</v>
      </c>
      <c r="B537" s="2">
        <v>5.9083677093302258</v>
      </c>
      <c r="C537" s="2">
        <v>3.4118147715714642</v>
      </c>
    </row>
    <row r="538" spans="1:3" x14ac:dyDescent="0.3">
      <c r="A538" s="2">
        <v>10.59201872023292</v>
      </c>
      <c r="B538" s="2">
        <v>6.8599990717558859</v>
      </c>
      <c r="C538" s="2">
        <v>4.0865608908030477</v>
      </c>
    </row>
    <row r="539" spans="1:3" x14ac:dyDescent="0.3">
      <c r="A539" s="2">
        <v>6.0276171842619597</v>
      </c>
      <c r="B539" s="2">
        <v>6.1259385664516159</v>
      </c>
      <c r="C539" s="2">
        <v>1.4743766279477699</v>
      </c>
    </row>
    <row r="540" spans="1:3" x14ac:dyDescent="0.3">
      <c r="A540" s="2">
        <v>7.3027622366013727</v>
      </c>
      <c r="B540" s="2">
        <v>4.0402045814158738</v>
      </c>
      <c r="C540" s="2">
        <v>3.1393843752498949</v>
      </c>
    </row>
    <row r="541" spans="1:3" x14ac:dyDescent="0.3">
      <c r="A541" s="2">
        <v>5.049119490387163</v>
      </c>
      <c r="B541" s="2">
        <v>8.012729481411581</v>
      </c>
      <c r="C541" s="2">
        <v>6.4530714496165373</v>
      </c>
    </row>
    <row r="542" spans="1:3" x14ac:dyDescent="0.3">
      <c r="A542" s="2">
        <v>12.2054418885528</v>
      </c>
      <c r="B542" s="2">
        <v>5.0313530227752166</v>
      </c>
      <c r="C542" s="2">
        <v>5.4536613078639444</v>
      </c>
    </row>
    <row r="543" spans="1:3" x14ac:dyDescent="0.3">
      <c r="A543" s="2">
        <v>8.3607020842191311</v>
      </c>
      <c r="B543" s="2">
        <v>4.7323972832309327</v>
      </c>
      <c r="C543" s="2">
        <v>3.30381338288205</v>
      </c>
    </row>
    <row r="544" spans="1:3" x14ac:dyDescent="0.3">
      <c r="A544" s="2">
        <v>5.8916101699457162</v>
      </c>
      <c r="B544" s="2">
        <v>8.4387254887672469</v>
      </c>
      <c r="C544" s="2">
        <v>7.5025910912973854</v>
      </c>
    </row>
    <row r="545" spans="1:3" x14ac:dyDescent="0.3">
      <c r="A545" s="2">
        <v>8.8685691653983802</v>
      </c>
      <c r="B545" s="2">
        <v>6.3786377382094326</v>
      </c>
      <c r="C545" s="2">
        <v>2.070954134504392</v>
      </c>
    </row>
    <row r="546" spans="1:3" x14ac:dyDescent="0.3">
      <c r="A546" s="2">
        <v>8.4500037442485763</v>
      </c>
      <c r="B546" s="2">
        <v>7.9301917170071867</v>
      </c>
      <c r="C546" s="2">
        <v>5.9509993886780688</v>
      </c>
    </row>
    <row r="547" spans="1:3" x14ac:dyDescent="0.3">
      <c r="A547" s="2">
        <v>6.7448988614844767</v>
      </c>
      <c r="B547" s="2">
        <v>6.5534759591193223</v>
      </c>
      <c r="C547" s="2">
        <v>4.4125004700638701</v>
      </c>
    </row>
    <row r="548" spans="1:3" x14ac:dyDescent="0.3">
      <c r="A548" s="2">
        <v>4.8902055274731779</v>
      </c>
      <c r="B548" s="2">
        <v>3.1098664026284522</v>
      </c>
      <c r="C548" s="2">
        <v>5.1004952822180751</v>
      </c>
    </row>
    <row r="549" spans="1:3" x14ac:dyDescent="0.3">
      <c r="A549" s="2">
        <v>8.8675340858496412</v>
      </c>
      <c r="B549" s="2">
        <v>3.723460474683336</v>
      </c>
      <c r="C549" s="2">
        <v>5.5314677602701634</v>
      </c>
    </row>
    <row r="550" spans="1:3" x14ac:dyDescent="0.3">
      <c r="A550" s="2">
        <v>7.755486111757568</v>
      </c>
      <c r="B550" s="2">
        <v>6.217265723500323</v>
      </c>
      <c r="C550" s="2">
        <v>7.4139021218918977</v>
      </c>
    </row>
    <row r="551" spans="1:3" x14ac:dyDescent="0.3">
      <c r="A551" s="2">
        <v>9.760104320648022</v>
      </c>
      <c r="B551" s="2">
        <v>6.7673603048127298</v>
      </c>
      <c r="C551" s="2">
        <v>6.3896579884618534</v>
      </c>
    </row>
    <row r="552" spans="1:3" x14ac:dyDescent="0.3">
      <c r="A552" s="2">
        <v>7.7545175453094579</v>
      </c>
      <c r="B552" s="2">
        <v>6.8656668177714888</v>
      </c>
      <c r="C552" s="2">
        <v>7.1965585350104391</v>
      </c>
    </row>
    <row r="553" spans="1:3" x14ac:dyDescent="0.3">
      <c r="A553" s="2">
        <v>10.622553186639839</v>
      </c>
      <c r="B553" s="2">
        <v>5.6092387769875396</v>
      </c>
      <c r="C553" s="2">
        <v>2.7628205230288221</v>
      </c>
    </row>
    <row r="554" spans="1:3" x14ac:dyDescent="0.3">
      <c r="A554" s="2">
        <v>7.9713640418703999</v>
      </c>
      <c r="B554" s="2">
        <v>6.9839510252364887</v>
      </c>
      <c r="C554" s="2">
        <v>4.2941505678793348</v>
      </c>
    </row>
    <row r="555" spans="1:3" x14ac:dyDescent="0.3">
      <c r="A555" s="2">
        <v>8.0344513281893342</v>
      </c>
      <c r="B555" s="2">
        <v>9.3384993850701647</v>
      </c>
      <c r="C555" s="2">
        <v>2.9127949584852528</v>
      </c>
    </row>
    <row r="556" spans="1:3" x14ac:dyDescent="0.3">
      <c r="A556" s="2">
        <v>10.93207541674529</v>
      </c>
      <c r="B556" s="2">
        <v>5.9629319760743851</v>
      </c>
      <c r="C556" s="2">
        <v>2.1551727464322932</v>
      </c>
    </row>
    <row r="557" spans="1:3" x14ac:dyDescent="0.3">
      <c r="A557" s="2">
        <v>7.0134533019446206</v>
      </c>
      <c r="B557" s="2">
        <v>4.1021221900939819</v>
      </c>
      <c r="C557" s="2">
        <v>6.7975887719157146</v>
      </c>
    </row>
    <row r="558" spans="1:3" x14ac:dyDescent="0.3">
      <c r="A558" s="2">
        <v>5.0965951057782837</v>
      </c>
      <c r="B558" s="2">
        <v>8.7430743035223752</v>
      </c>
      <c r="C558" s="2">
        <v>0.78770675357306441</v>
      </c>
    </row>
    <row r="559" spans="1:3" x14ac:dyDescent="0.3">
      <c r="A559" s="2">
        <v>3.703352170116498</v>
      </c>
      <c r="B559" s="2">
        <v>4.1333298649260657</v>
      </c>
      <c r="C559" s="2">
        <v>3.673741764320531</v>
      </c>
    </row>
    <row r="560" spans="1:3" x14ac:dyDescent="0.3">
      <c r="A560" s="2">
        <v>9.5956307268228294</v>
      </c>
      <c r="B560" s="2">
        <v>2.8239754369545089</v>
      </c>
      <c r="C560" s="2">
        <v>3.747717715464054</v>
      </c>
    </row>
    <row r="561" spans="1:3" x14ac:dyDescent="0.3">
      <c r="A561" s="2">
        <v>8.4664496998964918</v>
      </c>
      <c r="B561" s="2">
        <v>4.8980565589775464</v>
      </c>
      <c r="C561" s="2">
        <v>4.454216596220463</v>
      </c>
    </row>
    <row r="562" spans="1:3" x14ac:dyDescent="0.3">
      <c r="A562" s="2">
        <v>9.1383032807200681</v>
      </c>
      <c r="B562" s="2">
        <v>6.4026099674946826</v>
      </c>
      <c r="C562" s="2">
        <v>2.4978811132255898</v>
      </c>
    </row>
    <row r="563" spans="1:3" x14ac:dyDescent="0.3">
      <c r="A563" s="2">
        <v>5.7732593795043652</v>
      </c>
      <c r="B563" s="2">
        <v>8.0883155353084568</v>
      </c>
      <c r="C563" s="2">
        <v>3.351891953497669</v>
      </c>
    </row>
    <row r="564" spans="1:3" x14ac:dyDescent="0.3">
      <c r="A564" s="2">
        <v>5.1193222285107236</v>
      </c>
      <c r="B564" s="2">
        <v>5.4991620014417046</v>
      </c>
      <c r="C564" s="2">
        <v>8.8169624088688998</v>
      </c>
    </row>
    <row r="565" spans="1:3" x14ac:dyDescent="0.3">
      <c r="A565" s="2">
        <v>3.3554192713232149</v>
      </c>
      <c r="B565" s="2">
        <v>3.6101046393666278</v>
      </c>
      <c r="C565" s="2">
        <v>4.3506382191765693</v>
      </c>
    </row>
    <row r="566" spans="1:3" x14ac:dyDescent="0.3">
      <c r="A566" s="2">
        <v>6.699769051216971</v>
      </c>
      <c r="B566" s="2">
        <v>8.4642199432321412</v>
      </c>
      <c r="C566" s="2">
        <v>3.044715531903484</v>
      </c>
    </row>
    <row r="567" spans="1:3" x14ac:dyDescent="0.3">
      <c r="A567" s="2">
        <v>8.2413989332960149</v>
      </c>
      <c r="B567" s="2">
        <v>4.3867771138935723</v>
      </c>
      <c r="C567" s="2">
        <v>5.3945581754427154</v>
      </c>
    </row>
    <row r="568" spans="1:3" x14ac:dyDescent="0.3">
      <c r="A568" s="2">
        <v>6.9460693017326678</v>
      </c>
      <c r="B568" s="2">
        <v>5.730707310669283</v>
      </c>
      <c r="C568" s="2">
        <v>5.058871650957883</v>
      </c>
    </row>
    <row r="569" spans="1:3" x14ac:dyDescent="0.3">
      <c r="A569" s="2">
        <v>7.2212163487334324</v>
      </c>
      <c r="B569" s="2">
        <v>8.1624177052527163</v>
      </c>
      <c r="C569" s="2">
        <v>8.942330200123461</v>
      </c>
    </row>
    <row r="570" spans="1:3" x14ac:dyDescent="0.3">
      <c r="A570" s="2">
        <v>11.319385442178829</v>
      </c>
      <c r="B570" s="2">
        <v>5.1414573360515803</v>
      </c>
      <c r="C570" s="2">
        <v>4.3261971519902227</v>
      </c>
    </row>
    <row r="571" spans="1:3" x14ac:dyDescent="0.3">
      <c r="A571" s="2">
        <v>6.6857774123742226</v>
      </c>
      <c r="B571" s="2">
        <v>7.721551730340388</v>
      </c>
      <c r="C571" s="2">
        <v>5.92263811125693</v>
      </c>
    </row>
    <row r="572" spans="1:3" x14ac:dyDescent="0.3">
      <c r="A572" s="2">
        <v>7.713183367125013</v>
      </c>
      <c r="B572" s="2">
        <v>7.1381812123213537</v>
      </c>
      <c r="C572" s="2">
        <v>2.3801504016961088</v>
      </c>
    </row>
    <row r="573" spans="1:3" x14ac:dyDescent="0.3">
      <c r="A573" s="2">
        <v>9.8720302500049932</v>
      </c>
      <c r="B573" s="2">
        <v>6.5647919747126284</v>
      </c>
      <c r="C573" s="2">
        <v>3.390817194035936</v>
      </c>
    </row>
    <row r="574" spans="1:3" x14ac:dyDescent="0.3">
      <c r="A574" s="2">
        <v>6.9717688258727888</v>
      </c>
      <c r="B574" s="2">
        <v>9.6632923942101385</v>
      </c>
      <c r="C574" s="2">
        <v>3.595401514741559</v>
      </c>
    </row>
    <row r="575" spans="1:3" x14ac:dyDescent="0.3">
      <c r="A575" s="2">
        <v>8.479883437003167</v>
      </c>
      <c r="B575" s="2">
        <v>6.8006826386926766</v>
      </c>
      <c r="C575" s="2">
        <v>1.7868684080313939</v>
      </c>
    </row>
    <row r="576" spans="1:3" x14ac:dyDescent="0.3">
      <c r="A576" s="2">
        <v>10.74796435465872</v>
      </c>
      <c r="B576" s="2">
        <v>6.5339705915106752</v>
      </c>
      <c r="C576" s="2">
        <v>4.9995534773366099</v>
      </c>
    </row>
    <row r="577" spans="1:3" x14ac:dyDescent="0.3">
      <c r="A577" s="2">
        <v>12.109424862933331</v>
      </c>
      <c r="B577" s="2">
        <v>8.131227556994661</v>
      </c>
      <c r="C577" s="2">
        <v>5.4285367626835468</v>
      </c>
    </row>
    <row r="578" spans="1:3" x14ac:dyDescent="0.3">
      <c r="A578" s="2">
        <v>5.2201593382630911</v>
      </c>
      <c r="B578" s="2">
        <v>7.9108609013104836</v>
      </c>
      <c r="C578" s="2">
        <v>5.1674821571032279</v>
      </c>
    </row>
    <row r="579" spans="1:3" x14ac:dyDescent="0.3">
      <c r="A579" s="2">
        <v>11.67888052375184</v>
      </c>
      <c r="B579" s="2">
        <v>6.2585100098963196</v>
      </c>
      <c r="C579" s="2">
        <v>1.516653016154129</v>
      </c>
    </row>
    <row r="580" spans="1:3" x14ac:dyDescent="0.3">
      <c r="A580" s="2">
        <v>7.5688182542495808</v>
      </c>
      <c r="B580" s="2">
        <v>6.0039922551863869</v>
      </c>
      <c r="C580" s="2">
        <v>2.8723788916978119</v>
      </c>
    </row>
    <row r="581" spans="1:3" x14ac:dyDescent="0.3">
      <c r="A581" s="2">
        <v>6.1044798758379262</v>
      </c>
      <c r="B581" s="2">
        <v>4.9090073254738851</v>
      </c>
      <c r="C581" s="2">
        <v>4.0713029300299644</v>
      </c>
    </row>
    <row r="582" spans="1:3" x14ac:dyDescent="0.3">
      <c r="A582" s="2">
        <v>7.3568993705417904</v>
      </c>
      <c r="B582" s="2">
        <v>8.6718716410391963</v>
      </c>
      <c r="C582" s="2">
        <v>2.449411637847148</v>
      </c>
    </row>
    <row r="583" spans="1:3" x14ac:dyDescent="0.3">
      <c r="A583" s="2">
        <v>12.885169352432261</v>
      </c>
      <c r="B583" s="2">
        <v>6.3830573636731778</v>
      </c>
      <c r="C583" s="2">
        <v>0.61445596613074471</v>
      </c>
    </row>
    <row r="584" spans="1:3" x14ac:dyDescent="0.3">
      <c r="A584" s="2">
        <v>7.5720949446980343</v>
      </c>
      <c r="B584" s="2">
        <v>7.2485195853757576</v>
      </c>
      <c r="C584" s="2">
        <v>6.911834526758021</v>
      </c>
    </row>
    <row r="585" spans="1:3" x14ac:dyDescent="0.3">
      <c r="A585" s="2">
        <v>6.5668776123169152</v>
      </c>
      <c r="B585" s="2">
        <v>3.4590174064723298</v>
      </c>
      <c r="C585" s="2">
        <v>8.0713689639501425</v>
      </c>
    </row>
    <row r="586" spans="1:3" x14ac:dyDescent="0.3">
      <c r="A586" s="2">
        <v>8.5661599212208834</v>
      </c>
      <c r="B586" s="2">
        <v>7.979908544017337</v>
      </c>
      <c r="C586" s="2">
        <v>7.3031024077417914</v>
      </c>
    </row>
    <row r="587" spans="1:3" x14ac:dyDescent="0.3">
      <c r="A587" s="2">
        <v>5.9758777424890672</v>
      </c>
      <c r="B587" s="2">
        <v>6.75315747700337</v>
      </c>
      <c r="C587" s="2">
        <v>5.513137051912647</v>
      </c>
    </row>
    <row r="588" spans="1:3" x14ac:dyDescent="0.3">
      <c r="A588" s="2">
        <v>4.4536335473027897</v>
      </c>
      <c r="B588" s="2">
        <v>3.4231997501914111</v>
      </c>
      <c r="C588" s="2">
        <v>3.6532499595757741</v>
      </c>
    </row>
    <row r="589" spans="1:3" x14ac:dyDescent="0.3">
      <c r="A589" s="2">
        <v>5.0463579499600524</v>
      </c>
      <c r="B589" s="2">
        <v>7.5820747493614986</v>
      </c>
      <c r="C589" s="2">
        <v>9.4525808357434293</v>
      </c>
    </row>
    <row r="590" spans="1:3" x14ac:dyDescent="0.3">
      <c r="A590" s="2">
        <v>5.0381068058624976</v>
      </c>
      <c r="B590" s="2">
        <v>5.9044883823924152</v>
      </c>
      <c r="C590" s="2">
        <v>7.150652219574293</v>
      </c>
    </row>
    <row r="591" spans="1:3" x14ac:dyDescent="0.3">
      <c r="A591" s="2">
        <v>5.2644573627754738</v>
      </c>
      <c r="B591" s="2">
        <v>6.4994555764704209</v>
      </c>
      <c r="C591" s="2">
        <v>3.174064573806656</v>
      </c>
    </row>
    <row r="592" spans="1:3" x14ac:dyDescent="0.3">
      <c r="A592" s="2">
        <v>5.142800608443971</v>
      </c>
      <c r="B592" s="2">
        <v>4.5352166628365227</v>
      </c>
      <c r="C592" s="2">
        <v>8.0701259199117334</v>
      </c>
    </row>
    <row r="593" spans="1:3" x14ac:dyDescent="0.3">
      <c r="A593" s="2">
        <v>8.623884452870648</v>
      </c>
      <c r="B593" s="2">
        <v>6.4616836012791659</v>
      </c>
      <c r="C593" s="2">
        <v>5.2470507214652944</v>
      </c>
    </row>
    <row r="594" spans="1:3" x14ac:dyDescent="0.3">
      <c r="A594" s="2">
        <v>5.5249606685246304</v>
      </c>
      <c r="B594" s="2">
        <v>2.94408361554202</v>
      </c>
      <c r="C594" s="2">
        <v>7.6723920396560388</v>
      </c>
    </row>
    <row r="595" spans="1:3" x14ac:dyDescent="0.3">
      <c r="A595" s="2">
        <v>6.6701943628593083</v>
      </c>
      <c r="B595" s="2">
        <v>3.8607132873260408</v>
      </c>
      <c r="C595" s="2">
        <v>8.2474365581298574</v>
      </c>
    </row>
    <row r="596" spans="1:3" x14ac:dyDescent="0.3">
      <c r="A596" s="2">
        <v>11.210675750217529</v>
      </c>
      <c r="B596" s="2">
        <v>8.947619392559341</v>
      </c>
      <c r="C596" s="2">
        <v>3.5097165789691909</v>
      </c>
    </row>
    <row r="597" spans="1:3" x14ac:dyDescent="0.3">
      <c r="A597" s="2">
        <v>7.4513407860493874</v>
      </c>
      <c r="B597" s="2">
        <v>5.3750753821030441</v>
      </c>
      <c r="C597" s="2">
        <v>4.6172703528538293</v>
      </c>
    </row>
    <row r="598" spans="1:3" x14ac:dyDescent="0.3">
      <c r="A598" s="2">
        <v>8.8350348557656524</v>
      </c>
      <c r="B598" s="2">
        <v>5.0689262383981619</v>
      </c>
      <c r="C598" s="2">
        <v>5.420204118198269</v>
      </c>
    </row>
    <row r="599" spans="1:3" x14ac:dyDescent="0.3">
      <c r="A599" s="2">
        <v>5.4443866458320311</v>
      </c>
      <c r="B599" s="2">
        <v>6.8411364533009111</v>
      </c>
      <c r="C599" s="2">
        <v>5.0944378390166651</v>
      </c>
    </row>
    <row r="600" spans="1:3" x14ac:dyDescent="0.3">
      <c r="A600" s="2">
        <v>5.6103151827852136</v>
      </c>
      <c r="B600" s="2">
        <v>6.9482901180623289</v>
      </c>
      <c r="C600" s="2">
        <v>2.7405681235811001</v>
      </c>
    </row>
    <row r="601" spans="1:3" x14ac:dyDescent="0.3">
      <c r="A601" s="2">
        <v>3.9339107658311772</v>
      </c>
      <c r="B601" s="2">
        <v>6.3641676601245338</v>
      </c>
      <c r="C601" s="2">
        <v>5.1354576042706039</v>
      </c>
    </row>
    <row r="602" spans="1:3" x14ac:dyDescent="0.3">
      <c r="A602" s="2">
        <v>5.4153255432559497</v>
      </c>
      <c r="B602" s="2">
        <v>10.35865398784061</v>
      </c>
      <c r="C602" s="2">
        <v>4.2856036272454352</v>
      </c>
    </row>
    <row r="603" spans="1:3" x14ac:dyDescent="0.3">
      <c r="A603" s="2">
        <v>6.2437788338385909</v>
      </c>
      <c r="B603" s="2">
        <v>6.7334749834343981</v>
      </c>
      <c r="C603" s="2">
        <v>4.3195145230511311</v>
      </c>
    </row>
    <row r="604" spans="1:3" x14ac:dyDescent="0.3">
      <c r="A604" s="2">
        <v>5.4841912579395986</v>
      </c>
      <c r="B604" s="2">
        <v>5.4826984308419782</v>
      </c>
      <c r="C604" s="2">
        <v>1.5938525287303</v>
      </c>
    </row>
    <row r="605" spans="1:3" x14ac:dyDescent="0.3">
      <c r="A605" s="2">
        <v>4.6124924788783197</v>
      </c>
      <c r="B605" s="2">
        <v>2.9896009603836289</v>
      </c>
      <c r="C605" s="2">
        <v>4.4109532251851196</v>
      </c>
    </row>
    <row r="606" spans="1:3" x14ac:dyDescent="0.3">
      <c r="A606" s="2">
        <v>4.9635727460481496</v>
      </c>
      <c r="B606" s="2">
        <v>4.2643430200185231</v>
      </c>
      <c r="C606" s="2">
        <v>9.4003479252983695</v>
      </c>
    </row>
    <row r="607" spans="1:3" x14ac:dyDescent="0.3">
      <c r="A607" s="2">
        <v>7.3673010995854211</v>
      </c>
      <c r="B607" s="2">
        <v>6.1050229642688798</v>
      </c>
      <c r="C607" s="2">
        <v>5.8571222206616911</v>
      </c>
    </row>
    <row r="608" spans="1:3" x14ac:dyDescent="0.3">
      <c r="A608" s="2">
        <v>5.7219015150987182</v>
      </c>
      <c r="B608" s="2">
        <v>3.2816839067433881</v>
      </c>
      <c r="C608" s="2">
        <v>4.2358558210294142</v>
      </c>
    </row>
    <row r="609" spans="1:3" x14ac:dyDescent="0.3">
      <c r="A609" s="2">
        <v>6.7809364290221206</v>
      </c>
      <c r="B609" s="2">
        <v>7.0552404919829517</v>
      </c>
      <c r="C609" s="2">
        <v>6.0302536633558006</v>
      </c>
    </row>
    <row r="610" spans="1:3" x14ac:dyDescent="0.3">
      <c r="A610" s="2">
        <v>7.6430088692002567</v>
      </c>
      <c r="B610" s="2">
        <v>3.4412604710412662</v>
      </c>
      <c r="C610" s="2">
        <v>7.8581937195114619</v>
      </c>
    </row>
    <row r="611" spans="1:3" x14ac:dyDescent="0.3">
      <c r="A611" s="2">
        <v>9.0225859990464787</v>
      </c>
      <c r="B611" s="2">
        <v>5.4027223877387947</v>
      </c>
      <c r="C611" s="2">
        <v>3.3898565976715331</v>
      </c>
    </row>
    <row r="612" spans="1:3" x14ac:dyDescent="0.3">
      <c r="A612" s="2">
        <v>3.906340554561976</v>
      </c>
      <c r="B612" s="2">
        <v>6.2457189361370329</v>
      </c>
      <c r="C612" s="2">
        <v>8.4409205505048099</v>
      </c>
    </row>
    <row r="613" spans="1:3" x14ac:dyDescent="0.3">
      <c r="A613" s="2">
        <v>10.03262100806093</v>
      </c>
      <c r="B613" s="2">
        <v>9.5220309863947321</v>
      </c>
      <c r="C613" s="2">
        <v>2.6563842341238151</v>
      </c>
    </row>
    <row r="614" spans="1:3" x14ac:dyDescent="0.3">
      <c r="A614" s="2">
        <v>8.5240521251620702</v>
      </c>
      <c r="B614" s="2">
        <v>10.962675022373871</v>
      </c>
      <c r="C614" s="2">
        <v>4.0807592455011328</v>
      </c>
    </row>
    <row r="615" spans="1:3" x14ac:dyDescent="0.3">
      <c r="A615" s="2">
        <v>4.5281264500389877</v>
      </c>
      <c r="B615" s="2">
        <v>8.057432884069323</v>
      </c>
      <c r="C615" s="2">
        <v>3.8981448701357819</v>
      </c>
    </row>
    <row r="616" spans="1:3" x14ac:dyDescent="0.3">
      <c r="A616" s="2">
        <v>10.891592116314071</v>
      </c>
      <c r="B616" s="2">
        <v>4.906437576704799</v>
      </c>
      <c r="C616" s="2">
        <v>7.4568724232633379</v>
      </c>
    </row>
    <row r="617" spans="1:3" x14ac:dyDescent="0.3">
      <c r="A617" s="2">
        <v>11.58258380039482</v>
      </c>
      <c r="B617" s="2">
        <v>6.5363931061192613</v>
      </c>
      <c r="C617" s="2">
        <v>2.576766296335431</v>
      </c>
    </row>
    <row r="618" spans="1:3" x14ac:dyDescent="0.3">
      <c r="A618" s="2">
        <v>4.2529495601123823</v>
      </c>
      <c r="B618" s="2">
        <v>4.8937421630327353</v>
      </c>
      <c r="C618" s="2">
        <v>7.1334199092243331</v>
      </c>
    </row>
    <row r="619" spans="1:3" x14ac:dyDescent="0.3">
      <c r="A619" s="2">
        <v>6.232253270919033</v>
      </c>
      <c r="B619" s="2">
        <v>5.1169543423952506</v>
      </c>
      <c r="C619" s="2">
        <v>4.5126109328875028</v>
      </c>
    </row>
    <row r="620" spans="1:3" x14ac:dyDescent="0.3">
      <c r="A620" s="2">
        <v>10.103770856566159</v>
      </c>
      <c r="B620" s="2">
        <v>3.610231469543153</v>
      </c>
      <c r="C620" s="2">
        <v>5.190465078095186</v>
      </c>
    </row>
    <row r="621" spans="1:3" x14ac:dyDescent="0.3">
      <c r="A621" s="2">
        <v>9.531416059811832</v>
      </c>
      <c r="B621" s="2">
        <v>7.2832813454591792</v>
      </c>
      <c r="C621" s="2">
        <v>7.3895416270069836</v>
      </c>
    </row>
    <row r="622" spans="1:3" x14ac:dyDescent="0.3">
      <c r="A622" s="2">
        <v>5.5468430356385836</v>
      </c>
      <c r="B622" s="2">
        <v>4.9686173727360927</v>
      </c>
      <c r="C622" s="2">
        <v>5.9118121074096512</v>
      </c>
    </row>
    <row r="623" spans="1:3" x14ac:dyDescent="0.3">
      <c r="A623" s="2">
        <v>5.7453604510238758</v>
      </c>
      <c r="B623" s="2">
        <v>5.4076244115006924</v>
      </c>
      <c r="C623" s="2">
        <v>7.5822882864234273</v>
      </c>
    </row>
    <row r="624" spans="1:3" x14ac:dyDescent="0.3">
      <c r="A624" s="2">
        <v>6.8172819815245456</v>
      </c>
      <c r="B624" s="2">
        <v>6.6046467683837209</v>
      </c>
      <c r="C624" s="2">
        <v>7.0917527454490656</v>
      </c>
    </row>
    <row r="625" spans="1:3" x14ac:dyDescent="0.3">
      <c r="A625" s="2">
        <v>7.519431166273236</v>
      </c>
      <c r="B625" s="2">
        <v>8.1212330464715663</v>
      </c>
      <c r="C625" s="2">
        <v>10.40096721302927</v>
      </c>
    </row>
    <row r="626" spans="1:3" x14ac:dyDescent="0.3">
      <c r="A626" s="2">
        <v>8.4509564377274913</v>
      </c>
      <c r="B626" s="2">
        <v>7.4589448378291721</v>
      </c>
      <c r="C626" s="2">
        <v>7.3218118758624966</v>
      </c>
    </row>
    <row r="627" spans="1:3" x14ac:dyDescent="0.3">
      <c r="A627" s="2">
        <v>6.8081492786955513</v>
      </c>
      <c r="B627" s="2">
        <v>5.1518308975354374</v>
      </c>
      <c r="C627" s="2">
        <v>5.1581843154392892</v>
      </c>
    </row>
    <row r="628" spans="1:3" x14ac:dyDescent="0.3">
      <c r="A628" s="2">
        <v>7.3784353497755326</v>
      </c>
      <c r="B628" s="2">
        <v>6.8789187042447191</v>
      </c>
      <c r="C628" s="2">
        <v>5.0286388994927416</v>
      </c>
    </row>
    <row r="629" spans="1:3" x14ac:dyDescent="0.3">
      <c r="A629" s="2">
        <v>9.52410798067584</v>
      </c>
      <c r="B629" s="2">
        <v>6.3887798795014268</v>
      </c>
      <c r="C629" s="2">
        <v>8.5450207403740794</v>
      </c>
    </row>
    <row r="630" spans="1:3" x14ac:dyDescent="0.3">
      <c r="A630" s="2">
        <v>3.8585035654815121</v>
      </c>
      <c r="B630" s="2">
        <v>5.1416860075141262</v>
      </c>
      <c r="C630" s="2">
        <v>5.5750811542926169</v>
      </c>
    </row>
    <row r="631" spans="1:3" x14ac:dyDescent="0.3">
      <c r="A631" s="2">
        <v>6.0637203411530054</v>
      </c>
      <c r="B631" s="2">
        <v>7.5923349634927471</v>
      </c>
      <c r="C631" s="2">
        <v>6.0086194929674246</v>
      </c>
    </row>
    <row r="632" spans="1:3" x14ac:dyDescent="0.3">
      <c r="A632" s="2">
        <v>9.2182138891643035</v>
      </c>
      <c r="B632" s="2">
        <v>5.9998771065695022</v>
      </c>
      <c r="C632" s="2">
        <v>7.4621190972798983</v>
      </c>
    </row>
    <row r="633" spans="1:3" x14ac:dyDescent="0.3">
      <c r="A633" s="2">
        <v>11.18785923419202</v>
      </c>
      <c r="B633" s="2">
        <v>6.5583481714923249</v>
      </c>
      <c r="C633" s="2">
        <v>4.2657896986959001</v>
      </c>
    </row>
    <row r="634" spans="1:3" x14ac:dyDescent="0.3">
      <c r="A634" s="2">
        <v>7.6977721462851196</v>
      </c>
      <c r="B634" s="2">
        <v>7.2222266105357278</v>
      </c>
      <c r="C634" s="2">
        <v>3.122852109450315</v>
      </c>
    </row>
    <row r="635" spans="1:3" x14ac:dyDescent="0.3">
      <c r="A635" s="2">
        <v>7.8352836319495767</v>
      </c>
      <c r="B635" s="2">
        <v>6.3588468755652334</v>
      </c>
      <c r="C635" s="2">
        <v>6.2051322358750998</v>
      </c>
    </row>
    <row r="636" spans="1:3" x14ac:dyDescent="0.3">
      <c r="A636" s="2">
        <v>4.8220301226521869</v>
      </c>
      <c r="B636" s="2">
        <v>7.8284280415192287</v>
      </c>
      <c r="C636" s="2">
        <v>3.9800304036429459</v>
      </c>
    </row>
    <row r="637" spans="1:3" x14ac:dyDescent="0.3">
      <c r="A637" s="2">
        <v>7.2831338540907629</v>
      </c>
      <c r="B637" s="2">
        <v>4.2439364457958577</v>
      </c>
      <c r="C637" s="2">
        <v>8.1977272394742382</v>
      </c>
    </row>
    <row r="638" spans="1:3" x14ac:dyDescent="0.3">
      <c r="A638" s="2">
        <v>7.838711052756361</v>
      </c>
      <c r="B638" s="2">
        <v>4.8524327350915719</v>
      </c>
      <c r="C638" s="2">
        <v>0</v>
      </c>
    </row>
    <row r="639" spans="1:3" x14ac:dyDescent="0.3">
      <c r="A639" s="2">
        <v>5.9926624569035081</v>
      </c>
      <c r="B639" s="2">
        <v>8.2736674848467313</v>
      </c>
      <c r="C639" s="2">
        <v>3.962996405568358</v>
      </c>
    </row>
    <row r="640" spans="1:3" x14ac:dyDescent="0.3">
      <c r="A640" s="2">
        <v>6.1804384180506764</v>
      </c>
      <c r="B640" s="2">
        <v>6.7879658454465179</v>
      </c>
      <c r="C640" s="2">
        <v>5.6590205245909617</v>
      </c>
    </row>
    <row r="641" spans="1:3" x14ac:dyDescent="0.3">
      <c r="A641" s="2">
        <v>6.8573344650323476</v>
      </c>
      <c r="B641" s="2">
        <v>6.2037868239964551</v>
      </c>
      <c r="C641" s="2">
        <v>3.7042624835692588</v>
      </c>
    </row>
    <row r="642" spans="1:3" x14ac:dyDescent="0.3">
      <c r="A642" s="2">
        <v>3.5048790774005671</v>
      </c>
      <c r="B642" s="2">
        <v>5.9369574811327492</v>
      </c>
      <c r="C642" s="2">
        <v>8.1180634637174087</v>
      </c>
    </row>
    <row r="643" spans="1:3" x14ac:dyDescent="0.3">
      <c r="A643" s="2">
        <v>6.5253947409527049</v>
      </c>
      <c r="B643" s="2">
        <v>8.0445183826666096</v>
      </c>
      <c r="C643" s="2">
        <v>5.6142557606160226</v>
      </c>
    </row>
    <row r="644" spans="1:3" x14ac:dyDescent="0.3">
      <c r="A644" s="2">
        <v>5.7615869192765903</v>
      </c>
      <c r="B644" s="2">
        <v>9.3381489056225266</v>
      </c>
      <c r="C644" s="2">
        <v>3.7568943225251572</v>
      </c>
    </row>
    <row r="645" spans="1:3" x14ac:dyDescent="0.3">
      <c r="A645" s="2">
        <v>6.5591121921019733</v>
      </c>
      <c r="B645" s="2">
        <v>4.6827599612891433</v>
      </c>
      <c r="C645" s="2">
        <v>5.6904639610314911</v>
      </c>
    </row>
    <row r="646" spans="1:3" x14ac:dyDescent="0.3">
      <c r="A646" s="2">
        <v>4.9546349732346204</v>
      </c>
      <c r="B646" s="2">
        <v>9.0953753820296104</v>
      </c>
      <c r="C646" s="2">
        <v>2.1887315609212932</v>
      </c>
    </row>
    <row r="647" spans="1:3" x14ac:dyDescent="0.3">
      <c r="A647" s="2">
        <v>11.121339896393261</v>
      </c>
      <c r="B647" s="2">
        <v>7.2605340614961582</v>
      </c>
      <c r="C647" s="2">
        <v>6.2682017499740379</v>
      </c>
    </row>
    <row r="648" spans="1:3" x14ac:dyDescent="0.3">
      <c r="A648" s="2">
        <v>8.2681566632883445</v>
      </c>
      <c r="B648" s="2">
        <v>7.9608141967209134</v>
      </c>
      <c r="C648" s="2">
        <v>7.9582768752753807</v>
      </c>
    </row>
    <row r="649" spans="1:3" x14ac:dyDescent="0.3">
      <c r="A649" s="2">
        <v>8.9290113632763273</v>
      </c>
      <c r="B649" s="2">
        <v>7.460175840105606</v>
      </c>
      <c r="C649" s="2">
        <v>4.8649150807557469</v>
      </c>
    </row>
    <row r="650" spans="1:3" x14ac:dyDescent="0.3">
      <c r="A650" s="2">
        <v>9.9275821644674487</v>
      </c>
      <c r="B650" s="2">
        <v>5.3323984993201474</v>
      </c>
      <c r="C650" s="2">
        <v>5.1630606598514133</v>
      </c>
    </row>
    <row r="651" spans="1:3" x14ac:dyDescent="0.3">
      <c r="A651" s="2">
        <v>7.6102447377218772</v>
      </c>
      <c r="B651" s="2">
        <v>7.1664173108997664</v>
      </c>
      <c r="C651" s="2">
        <v>2.8042112608405438</v>
      </c>
    </row>
    <row r="652" spans="1:3" x14ac:dyDescent="0.3">
      <c r="A652" s="2">
        <v>4.5911622829609096</v>
      </c>
      <c r="B652" s="2">
        <v>5.457227782018184</v>
      </c>
      <c r="C652" s="2">
        <v>3.5800120618270528</v>
      </c>
    </row>
    <row r="653" spans="1:3" x14ac:dyDescent="0.3">
      <c r="A653" s="2">
        <v>7.869335294824868</v>
      </c>
      <c r="B653" s="2">
        <v>5.1888678736636766</v>
      </c>
      <c r="C653" s="2">
        <v>7.3830374034616142</v>
      </c>
    </row>
    <row r="654" spans="1:3" x14ac:dyDescent="0.3">
      <c r="A654" s="2">
        <v>8.2190890324506327</v>
      </c>
      <c r="B654" s="2">
        <v>5.89862782007327</v>
      </c>
      <c r="C654" s="2">
        <v>4.9266255310122196</v>
      </c>
    </row>
    <row r="655" spans="1:3" x14ac:dyDescent="0.3">
      <c r="A655" s="2">
        <v>9.5053381032154505</v>
      </c>
      <c r="B655" s="2">
        <v>4.2260184781453436</v>
      </c>
      <c r="C655" s="2">
        <v>9.8551303185477028</v>
      </c>
    </row>
    <row r="656" spans="1:3" x14ac:dyDescent="0.3">
      <c r="A656" s="2">
        <v>7.1852358209677236</v>
      </c>
      <c r="B656" s="2">
        <v>4.9276418975537464</v>
      </c>
      <c r="C656" s="2">
        <v>6.3771351502110614</v>
      </c>
    </row>
    <row r="657" spans="1:3" x14ac:dyDescent="0.3">
      <c r="A657" s="2">
        <v>5.033488708016046</v>
      </c>
      <c r="B657" s="2">
        <v>7.3148411078869637</v>
      </c>
      <c r="C657" s="2">
        <v>2.770491528443924</v>
      </c>
    </row>
    <row r="658" spans="1:3" x14ac:dyDescent="0.3">
      <c r="A658" s="2">
        <v>6.2784607740102096</v>
      </c>
      <c r="B658" s="2">
        <v>5.8455916370953886</v>
      </c>
      <c r="C658" s="2">
        <v>10.002904581600941</v>
      </c>
    </row>
    <row r="659" spans="1:3" x14ac:dyDescent="0.3">
      <c r="A659" s="2">
        <v>6.7739525420640003</v>
      </c>
      <c r="B659" s="2">
        <v>6.0036189880890172</v>
      </c>
      <c r="C659" s="2">
        <v>2.1512832753898938</v>
      </c>
    </row>
    <row r="660" spans="1:3" x14ac:dyDescent="0.3">
      <c r="A660" s="2">
        <v>8.663170108671391</v>
      </c>
      <c r="B660" s="2">
        <v>4.7557821514659873</v>
      </c>
      <c r="C660" s="2">
        <v>4.3450396814422039</v>
      </c>
    </row>
    <row r="661" spans="1:3" x14ac:dyDescent="0.3">
      <c r="A661" s="2">
        <v>8.1039345162830152</v>
      </c>
      <c r="B661" s="2">
        <v>2.240437646083727</v>
      </c>
      <c r="C661" s="2">
        <v>5.5162089387562308</v>
      </c>
    </row>
    <row r="662" spans="1:3" x14ac:dyDescent="0.3">
      <c r="A662" s="2">
        <v>6.732638217462088</v>
      </c>
      <c r="B662" s="2">
        <v>10.00218148911536</v>
      </c>
      <c r="C662" s="2">
        <v>5.8104253408499833</v>
      </c>
    </row>
    <row r="663" spans="1:3" x14ac:dyDescent="0.3">
      <c r="A663" s="2">
        <v>13.119486344600951</v>
      </c>
      <c r="B663" s="2">
        <v>9.9673167812355548</v>
      </c>
      <c r="C663" s="2">
        <v>3.8520031137930411</v>
      </c>
    </row>
    <row r="664" spans="1:3" x14ac:dyDescent="0.3">
      <c r="A664" s="2">
        <v>8.3577387819371936</v>
      </c>
      <c r="B664" s="2">
        <v>5.569603710019881</v>
      </c>
      <c r="C664" s="2">
        <v>5.1741783923698978</v>
      </c>
    </row>
    <row r="665" spans="1:3" x14ac:dyDescent="0.3">
      <c r="A665" s="2">
        <v>5.9546895507755657</v>
      </c>
      <c r="B665" s="2">
        <v>6.8907595047197141</v>
      </c>
      <c r="C665" s="2">
        <v>7.9525949696147809</v>
      </c>
    </row>
    <row r="666" spans="1:3" x14ac:dyDescent="0.3">
      <c r="A666" s="2">
        <v>4.7628911148202668</v>
      </c>
      <c r="B666" s="2">
        <v>4.2942423822149207</v>
      </c>
      <c r="C666" s="2">
        <v>7.982251640434562</v>
      </c>
    </row>
    <row r="667" spans="1:3" x14ac:dyDescent="0.3">
      <c r="A667" s="2">
        <v>5.273146821277904</v>
      </c>
      <c r="B667" s="2">
        <v>10.22264935658875</v>
      </c>
      <c r="C667" s="2">
        <v>8.9810481969382252</v>
      </c>
    </row>
    <row r="668" spans="1:3" x14ac:dyDescent="0.3">
      <c r="A668" s="2">
        <v>6.0176886324722663</v>
      </c>
      <c r="B668" s="2">
        <v>5.6916539253590814</v>
      </c>
      <c r="C668" s="2">
        <v>3.327403590556786</v>
      </c>
    </row>
    <row r="669" spans="1:3" x14ac:dyDescent="0.3">
      <c r="A669" s="2">
        <v>5.3432164688409234</v>
      </c>
      <c r="B669" s="2">
        <v>8.2813939730264217</v>
      </c>
      <c r="C669" s="2">
        <v>5.7686455925978368</v>
      </c>
    </row>
    <row r="670" spans="1:3" x14ac:dyDescent="0.3">
      <c r="A670" s="2">
        <v>5.5636884600137133</v>
      </c>
      <c r="B670" s="2">
        <v>5.5746749211984499</v>
      </c>
      <c r="C670" s="2">
        <v>6.105103574778096</v>
      </c>
    </row>
    <row r="671" spans="1:3" x14ac:dyDescent="0.3">
      <c r="A671" s="2">
        <v>6.2872335466653553</v>
      </c>
      <c r="B671" s="2">
        <v>5.360480709902709</v>
      </c>
      <c r="C671" s="2">
        <v>1.315864894841523</v>
      </c>
    </row>
    <row r="672" spans="1:3" x14ac:dyDescent="0.3">
      <c r="A672" s="2">
        <v>5.4533752858854756</v>
      </c>
      <c r="B672" s="2">
        <v>6.4234338875265138</v>
      </c>
      <c r="C672" s="2">
        <v>4.4994564710824214</v>
      </c>
    </row>
    <row r="673" spans="1:3" x14ac:dyDescent="0.3">
      <c r="A673" s="2">
        <v>11.21034290664563</v>
      </c>
      <c r="B673" s="2">
        <v>6.6928562328605929</v>
      </c>
      <c r="C673" s="2">
        <v>6.3108659868447354</v>
      </c>
    </row>
    <row r="674" spans="1:3" x14ac:dyDescent="0.3">
      <c r="A674" s="2">
        <v>4.5091191463517593</v>
      </c>
      <c r="B674" s="2">
        <v>8.4118024794204977</v>
      </c>
      <c r="C674" s="2">
        <v>4.8298864363536582</v>
      </c>
    </row>
    <row r="675" spans="1:3" x14ac:dyDescent="0.3">
      <c r="A675" s="2">
        <v>7.7837858599476784</v>
      </c>
      <c r="B675" s="2">
        <v>7.9547289215444614</v>
      </c>
      <c r="C675" s="2">
        <v>3.7039867350336002</v>
      </c>
    </row>
    <row r="676" spans="1:3" x14ac:dyDescent="0.3">
      <c r="A676" s="2">
        <v>7.0552226963162026</v>
      </c>
      <c r="B676" s="2">
        <v>7.5383528566159157</v>
      </c>
      <c r="C676" s="2">
        <v>5.9272746940063348</v>
      </c>
    </row>
    <row r="677" spans="1:3" x14ac:dyDescent="0.3">
      <c r="A677" s="2">
        <v>12.96482416310355</v>
      </c>
      <c r="B677" s="2">
        <v>8.5712934670950922</v>
      </c>
      <c r="C677" s="2">
        <v>7.6842785414046713</v>
      </c>
    </row>
    <row r="678" spans="1:3" x14ac:dyDescent="0.3">
      <c r="A678" s="2">
        <v>4.8741687320143683</v>
      </c>
      <c r="B678" s="2">
        <v>4.5083556081212288</v>
      </c>
      <c r="C678" s="2">
        <v>5.545945938564472</v>
      </c>
    </row>
    <row r="679" spans="1:3" x14ac:dyDescent="0.3">
      <c r="A679" s="2">
        <v>6.9796355885163459</v>
      </c>
      <c r="B679" s="2">
        <v>5.2746788365039761</v>
      </c>
      <c r="C679" s="2">
        <v>0.59399121854206882</v>
      </c>
    </row>
    <row r="680" spans="1:3" x14ac:dyDescent="0.3">
      <c r="A680" s="2">
        <v>12.57419254306712</v>
      </c>
      <c r="B680" s="2">
        <v>8.2648602307982664</v>
      </c>
      <c r="C680" s="2">
        <v>7.645064285778064</v>
      </c>
    </row>
    <row r="681" spans="1:3" x14ac:dyDescent="0.3">
      <c r="A681" s="2">
        <v>10.787611827458781</v>
      </c>
      <c r="B681" s="2">
        <v>3.901256041691934</v>
      </c>
      <c r="C681" s="2">
        <v>2.4294919468565861</v>
      </c>
    </row>
    <row r="682" spans="1:3" x14ac:dyDescent="0.3">
      <c r="A682" s="2">
        <v>10.22031407053127</v>
      </c>
      <c r="B682" s="2">
        <v>4.9871441050876637</v>
      </c>
      <c r="C682" s="2">
        <v>2.6344264352738218</v>
      </c>
    </row>
    <row r="683" spans="1:3" x14ac:dyDescent="0.3">
      <c r="A683" s="2">
        <v>6.10209539416031</v>
      </c>
      <c r="B683" s="2">
        <v>5.5545920425096398</v>
      </c>
      <c r="C683" s="2">
        <v>5.643000538409046</v>
      </c>
    </row>
    <row r="684" spans="1:3" x14ac:dyDescent="0.3">
      <c r="A684" s="2">
        <v>5.4321245747058926</v>
      </c>
      <c r="B684" s="2">
        <v>5.9132144660222528</v>
      </c>
      <c r="C684" s="2">
        <v>5.6712909547953068</v>
      </c>
    </row>
    <row r="685" spans="1:3" x14ac:dyDescent="0.3">
      <c r="A685" s="2">
        <v>8.8438007861037526</v>
      </c>
      <c r="B685" s="2">
        <v>8.1154604969252304</v>
      </c>
      <c r="C685" s="2">
        <v>3.7299746552556532</v>
      </c>
    </row>
    <row r="686" spans="1:3" x14ac:dyDescent="0.3">
      <c r="A686" s="2">
        <v>11.727222844384549</v>
      </c>
      <c r="B686" s="2">
        <v>5.6241615180754918</v>
      </c>
      <c r="C686" s="2">
        <v>6.6414146203663078</v>
      </c>
    </row>
    <row r="687" spans="1:3" x14ac:dyDescent="0.3">
      <c r="A687" s="2">
        <v>8.005206321203751</v>
      </c>
      <c r="B687" s="2">
        <v>7.9099860308198178</v>
      </c>
      <c r="C687" s="2">
        <v>5.0510775752278878</v>
      </c>
    </row>
    <row r="688" spans="1:3" x14ac:dyDescent="0.3">
      <c r="A688" s="2">
        <v>8.1098626168454899</v>
      </c>
      <c r="B688" s="2">
        <v>8.1872464889955587</v>
      </c>
      <c r="C688" s="2">
        <v>1.842156177084241</v>
      </c>
    </row>
    <row r="689" spans="1:3" x14ac:dyDescent="0.3">
      <c r="A689" s="2">
        <v>6.2530984801959164</v>
      </c>
      <c r="B689" s="2">
        <v>3.9059036578405681</v>
      </c>
      <c r="C689" s="2">
        <v>2.961816726030214</v>
      </c>
    </row>
    <row r="690" spans="1:3" x14ac:dyDescent="0.3">
      <c r="A690" s="2">
        <v>9.732640394568385</v>
      </c>
      <c r="B690" s="2">
        <v>6.0066464742703287</v>
      </c>
      <c r="C690" s="2">
        <v>4.4343015740386464</v>
      </c>
    </row>
    <row r="691" spans="1:3" x14ac:dyDescent="0.3">
      <c r="A691" s="2">
        <v>5.5676002004708831</v>
      </c>
      <c r="B691" s="2">
        <v>4.2987120097626832</v>
      </c>
      <c r="C691" s="2">
        <v>5.1395605060485936</v>
      </c>
    </row>
    <row r="692" spans="1:3" x14ac:dyDescent="0.3">
      <c r="A692" s="2">
        <v>6.53538131822725</v>
      </c>
      <c r="B692" s="2">
        <v>7.8990056880970174</v>
      </c>
      <c r="C692" s="2">
        <v>3.9124623862220611</v>
      </c>
    </row>
    <row r="693" spans="1:3" x14ac:dyDescent="0.3">
      <c r="A693" s="2">
        <v>7.1469359038365008</v>
      </c>
      <c r="B693" s="2">
        <v>3.991767970719152</v>
      </c>
      <c r="C693" s="2">
        <v>1.168015274899465</v>
      </c>
    </row>
    <row r="694" spans="1:3" x14ac:dyDescent="0.3">
      <c r="A694" s="2">
        <v>7.6707509303519528</v>
      </c>
      <c r="B694" s="2">
        <v>5.1640249511909442</v>
      </c>
      <c r="C694" s="2">
        <v>3.565340085237044</v>
      </c>
    </row>
    <row r="695" spans="1:3" x14ac:dyDescent="0.3">
      <c r="A695" s="2">
        <v>5.9922247404487994</v>
      </c>
      <c r="B695" s="2">
        <v>8.0443757630119919</v>
      </c>
      <c r="C695" s="2">
        <v>6.4227156167311197</v>
      </c>
    </row>
    <row r="696" spans="1:3" x14ac:dyDescent="0.3">
      <c r="A696" s="2">
        <v>4.9036307230166054</v>
      </c>
      <c r="B696" s="2">
        <v>6.8765333584552222</v>
      </c>
      <c r="C696" s="2">
        <v>5.171399300406871</v>
      </c>
    </row>
    <row r="697" spans="1:3" x14ac:dyDescent="0.3">
      <c r="A697" s="2">
        <v>8.3937519235393108</v>
      </c>
      <c r="B697" s="2">
        <v>5.7039412169520531</v>
      </c>
      <c r="C697" s="2">
        <v>6.9759112041845146</v>
      </c>
    </row>
    <row r="698" spans="1:3" x14ac:dyDescent="0.3">
      <c r="A698" s="2">
        <v>6.3106434015159776</v>
      </c>
      <c r="B698" s="2">
        <v>7.271046037473357</v>
      </c>
      <c r="C698" s="2">
        <v>6.6780746431151661</v>
      </c>
    </row>
    <row r="699" spans="1:3" x14ac:dyDescent="0.3">
      <c r="A699" s="2">
        <v>8.178671675682331</v>
      </c>
      <c r="B699" s="2">
        <v>4.6159827506828934</v>
      </c>
      <c r="C699" s="2">
        <v>1.3931541540723531</v>
      </c>
    </row>
    <row r="700" spans="1:3" x14ac:dyDescent="0.3">
      <c r="A700" s="2">
        <v>5.286752268402255</v>
      </c>
      <c r="B700" s="2">
        <v>5.0244956140037287</v>
      </c>
      <c r="C700" s="2">
        <v>3.6357990658241941</v>
      </c>
    </row>
    <row r="701" spans="1:3" x14ac:dyDescent="0.3">
      <c r="A701" s="2">
        <v>7.4975459731968392</v>
      </c>
      <c r="B701" s="2">
        <v>4.5558125992311806</v>
      </c>
      <c r="C701" s="2">
        <v>6.4742154178174456</v>
      </c>
    </row>
    <row r="702" spans="1:3" x14ac:dyDescent="0.3">
      <c r="A702" s="2">
        <v>7.8385216396120869</v>
      </c>
      <c r="B702" s="2">
        <v>6.7933199041083414</v>
      </c>
      <c r="C702" s="2">
        <v>6.072990867517829</v>
      </c>
    </row>
    <row r="703" spans="1:3" x14ac:dyDescent="0.3">
      <c r="A703" s="2">
        <v>4.1146956795434546</v>
      </c>
      <c r="B703" s="2">
        <v>4.6752535470343153</v>
      </c>
      <c r="C703" s="2">
        <v>6.0617083621601608</v>
      </c>
    </row>
    <row r="704" spans="1:3" x14ac:dyDescent="0.3">
      <c r="A704" s="2">
        <v>6.6151623583931816</v>
      </c>
      <c r="B704" s="2">
        <v>8.5631960270958984</v>
      </c>
      <c r="C704" s="2">
        <v>7.1182806777776104</v>
      </c>
    </row>
    <row r="705" spans="1:3" x14ac:dyDescent="0.3">
      <c r="A705" s="2">
        <v>5.1004619583450541</v>
      </c>
      <c r="B705" s="2">
        <v>10.92983216334793</v>
      </c>
      <c r="C705" s="2">
        <v>7.6989075943164789</v>
      </c>
    </row>
    <row r="706" spans="1:3" x14ac:dyDescent="0.3">
      <c r="A706" s="2">
        <v>4.2856076737304152</v>
      </c>
      <c r="B706" s="2">
        <v>4.6739313446214226</v>
      </c>
      <c r="C706" s="2">
        <v>1.3642091522620781</v>
      </c>
    </row>
    <row r="707" spans="1:3" x14ac:dyDescent="0.3">
      <c r="A707" s="2">
        <v>13.267667934865189</v>
      </c>
      <c r="B707" s="2">
        <v>5.8730065431977954</v>
      </c>
      <c r="C707" s="2">
        <v>4.1414809252703284</v>
      </c>
    </row>
    <row r="708" spans="1:3" x14ac:dyDescent="0.3">
      <c r="A708" s="2">
        <v>6.527110867691416</v>
      </c>
      <c r="B708" s="2">
        <v>7.1094984204785634</v>
      </c>
      <c r="C708" s="2">
        <v>6.3831893468884546</v>
      </c>
    </row>
    <row r="709" spans="1:3" x14ac:dyDescent="0.3">
      <c r="A709" s="2">
        <v>10.142775520395039</v>
      </c>
      <c r="B709" s="2">
        <v>6.8430980138114137</v>
      </c>
      <c r="C709" s="2">
        <v>6.6645934812416883</v>
      </c>
    </row>
    <row r="710" spans="1:3" x14ac:dyDescent="0.3">
      <c r="A710" s="2">
        <v>6.0792417271211168</v>
      </c>
      <c r="B710" s="2">
        <v>5.6552644871255016</v>
      </c>
      <c r="C710" s="2">
        <v>8.6771400746128222</v>
      </c>
    </row>
    <row r="711" spans="1:3" x14ac:dyDescent="0.3">
      <c r="A711" s="2">
        <v>8.9487625925071512</v>
      </c>
      <c r="B711" s="2">
        <v>6.4152343266283296</v>
      </c>
      <c r="C711" s="2">
        <v>8.1446875210045651</v>
      </c>
    </row>
    <row r="712" spans="1:3" x14ac:dyDescent="0.3">
      <c r="A712" s="2">
        <v>9.6437436539686523</v>
      </c>
      <c r="B712" s="2">
        <v>7.5778488440541159</v>
      </c>
      <c r="C712" s="2">
        <v>7.4224370706901954</v>
      </c>
    </row>
    <row r="713" spans="1:3" x14ac:dyDescent="0.3">
      <c r="A713" s="2">
        <v>8.2831091071262062</v>
      </c>
      <c r="B713" s="2">
        <v>7.3190171915603974</v>
      </c>
      <c r="C713" s="2">
        <v>4.0208376014705181</v>
      </c>
    </row>
    <row r="714" spans="1:3" x14ac:dyDescent="0.3">
      <c r="A714" s="2">
        <v>7.4360563577652936</v>
      </c>
      <c r="B714" s="2">
        <v>8.9543937086405379</v>
      </c>
      <c r="C714" s="2">
        <v>6.8079177720131918</v>
      </c>
    </row>
    <row r="715" spans="1:3" x14ac:dyDescent="0.3">
      <c r="A715" s="2">
        <v>7.0639777429488424</v>
      </c>
      <c r="B715" s="2">
        <v>7.7440619576660463</v>
      </c>
      <c r="C715" s="2">
        <v>9.1873959163698071</v>
      </c>
    </row>
    <row r="716" spans="1:3" x14ac:dyDescent="0.3">
      <c r="A716" s="2">
        <v>6.6894584960085348</v>
      </c>
      <c r="B716" s="2">
        <v>5.7579260143760553</v>
      </c>
      <c r="C716" s="2">
        <v>8.1781085905752207</v>
      </c>
    </row>
    <row r="717" spans="1:3" x14ac:dyDescent="0.3">
      <c r="A717" s="2">
        <v>11.72990552993955</v>
      </c>
      <c r="B717" s="2">
        <v>4.3482249739936982</v>
      </c>
      <c r="C717" s="2">
        <v>5.8201227189629474</v>
      </c>
    </row>
    <row r="718" spans="1:3" x14ac:dyDescent="0.3">
      <c r="A718" s="2">
        <v>10.37051287066552</v>
      </c>
      <c r="B718" s="2">
        <v>5.3263405855903496</v>
      </c>
      <c r="C718" s="2">
        <v>8.0700328504197465</v>
      </c>
    </row>
    <row r="719" spans="1:3" x14ac:dyDescent="0.3">
      <c r="A719" s="2">
        <v>12.459893660004269</v>
      </c>
      <c r="B719" s="2">
        <v>6.66124179769922</v>
      </c>
      <c r="C719" s="2">
        <v>5.5022882438074667</v>
      </c>
    </row>
    <row r="720" spans="1:3" x14ac:dyDescent="0.3">
      <c r="A720" s="2">
        <v>5.0006785706199341</v>
      </c>
      <c r="B720" s="2">
        <v>3.8651867968024511</v>
      </c>
      <c r="C720" s="2">
        <v>5.5266505401391699</v>
      </c>
    </row>
    <row r="721" spans="1:3" x14ac:dyDescent="0.3">
      <c r="A721" s="2">
        <v>9.3728378940760155</v>
      </c>
      <c r="B721" s="2">
        <v>5.805718812865754</v>
      </c>
      <c r="C721" s="2">
        <v>4.5675323406913479</v>
      </c>
    </row>
    <row r="722" spans="1:3" x14ac:dyDescent="0.3">
      <c r="A722" s="2">
        <v>11.889484202946329</v>
      </c>
      <c r="B722" s="2">
        <v>9.7821619570903895</v>
      </c>
      <c r="C722" s="2">
        <v>2.1285268664147612</v>
      </c>
    </row>
    <row r="723" spans="1:3" x14ac:dyDescent="0.3">
      <c r="A723" s="2">
        <v>5.5195753937920413</v>
      </c>
      <c r="B723" s="2">
        <v>11.23257820419996</v>
      </c>
      <c r="C723" s="2">
        <v>7.0464624876730859</v>
      </c>
    </row>
    <row r="724" spans="1:3" x14ac:dyDescent="0.3">
      <c r="A724" s="2">
        <v>4.3290509044918828</v>
      </c>
      <c r="B724" s="2">
        <v>6.6740298191733531</v>
      </c>
      <c r="C724" s="2">
        <v>4.8341322414270458</v>
      </c>
    </row>
    <row r="725" spans="1:3" x14ac:dyDescent="0.3">
      <c r="A725" s="2">
        <v>9.4656812333275777</v>
      </c>
      <c r="B725" s="2">
        <v>3.3522849746174659</v>
      </c>
      <c r="C725" s="2">
        <v>5.3501462530156783</v>
      </c>
    </row>
    <row r="726" spans="1:3" x14ac:dyDescent="0.3">
      <c r="A726" s="2">
        <v>8.1302291755879921</v>
      </c>
      <c r="B726" s="2">
        <v>7.5528172015557526</v>
      </c>
      <c r="C726" s="2">
        <v>6.119705242360145</v>
      </c>
    </row>
    <row r="727" spans="1:3" x14ac:dyDescent="0.3">
      <c r="A727" s="2">
        <v>10.49939673725096</v>
      </c>
      <c r="B727" s="2">
        <v>3.3028777026595169</v>
      </c>
      <c r="C727" s="2">
        <v>3.833461245327519</v>
      </c>
    </row>
    <row r="728" spans="1:3" x14ac:dyDescent="0.3">
      <c r="A728" s="2">
        <v>5.1517820928704952</v>
      </c>
      <c r="B728" s="2">
        <v>5.8200005588236836</v>
      </c>
      <c r="C728" s="2">
        <v>6.8990336781441837</v>
      </c>
    </row>
    <row r="729" spans="1:3" x14ac:dyDescent="0.3">
      <c r="A729" s="2">
        <v>9.9898033134815769</v>
      </c>
      <c r="B729" s="2">
        <v>6.6692076421631921</v>
      </c>
      <c r="C729" s="2">
        <v>4.7394599667391111</v>
      </c>
    </row>
    <row r="730" spans="1:3" x14ac:dyDescent="0.3">
      <c r="A730" s="2">
        <v>5.6849443435642684</v>
      </c>
      <c r="B730" s="2">
        <v>7.2687017626198571</v>
      </c>
      <c r="C730" s="2">
        <v>4.8237889306913857</v>
      </c>
    </row>
    <row r="731" spans="1:3" x14ac:dyDescent="0.3">
      <c r="A731" s="2">
        <v>5.3694129165342499</v>
      </c>
      <c r="B731" s="2">
        <v>9.0555708958321812</v>
      </c>
      <c r="C731" s="2">
        <v>0</v>
      </c>
    </row>
    <row r="732" spans="1:3" x14ac:dyDescent="0.3">
      <c r="A732" s="2">
        <v>5.3747543014853036</v>
      </c>
      <c r="B732" s="2">
        <v>3.5007988896816369</v>
      </c>
      <c r="C732" s="2">
        <v>5.3729049313663566</v>
      </c>
    </row>
    <row r="733" spans="1:3" x14ac:dyDescent="0.3">
      <c r="A733" s="2">
        <v>10.19324062085493</v>
      </c>
      <c r="B733" s="2">
        <v>6.1409467464027507</v>
      </c>
      <c r="C733" s="2">
        <v>3.0948792204657312</v>
      </c>
    </row>
    <row r="734" spans="1:3" x14ac:dyDescent="0.3">
      <c r="A734" s="2">
        <v>8.8160214866584958</v>
      </c>
      <c r="B734" s="2">
        <v>4.6108590963127263</v>
      </c>
      <c r="C734" s="2">
        <v>4.3020470674998972</v>
      </c>
    </row>
    <row r="735" spans="1:3" x14ac:dyDescent="0.3">
      <c r="A735" s="2">
        <v>7.7740373854581408</v>
      </c>
      <c r="B735" s="2">
        <v>2.9813788043123228</v>
      </c>
      <c r="C735" s="2">
        <v>3.4346424320838929</v>
      </c>
    </row>
    <row r="736" spans="1:3" x14ac:dyDescent="0.3">
      <c r="A736" s="2">
        <v>6.7488541580352477</v>
      </c>
      <c r="B736" s="2">
        <v>7.7271825039511626</v>
      </c>
      <c r="C736" s="2">
        <v>3.5685933934339369</v>
      </c>
    </row>
    <row r="737" spans="1:3" x14ac:dyDescent="0.3">
      <c r="A737" s="2">
        <v>10.939328723038599</v>
      </c>
      <c r="B737" s="2">
        <v>10.02146048962139</v>
      </c>
      <c r="C737" s="2">
        <v>4.5808335183784914</v>
      </c>
    </row>
    <row r="738" spans="1:3" x14ac:dyDescent="0.3">
      <c r="A738" s="2">
        <v>6.9472693005083794</v>
      </c>
      <c r="B738" s="2">
        <v>6.9266944396579806</v>
      </c>
      <c r="C738" s="2">
        <v>6.080092976869615</v>
      </c>
    </row>
    <row r="739" spans="1:3" x14ac:dyDescent="0.3">
      <c r="A739" s="2">
        <v>10.21517622340073</v>
      </c>
      <c r="B739" s="2">
        <v>6.7228329658484283</v>
      </c>
      <c r="C739" s="2">
        <v>8.1949824964178593</v>
      </c>
    </row>
    <row r="740" spans="1:3" x14ac:dyDescent="0.3">
      <c r="A740" s="2">
        <v>7.2315209969470038</v>
      </c>
      <c r="B740" s="2">
        <v>10.228366745623029</v>
      </c>
      <c r="C740" s="2">
        <v>5.3831669076353306</v>
      </c>
    </row>
    <row r="741" spans="1:3" x14ac:dyDescent="0.3">
      <c r="A741" s="2">
        <v>6.8553317773781286</v>
      </c>
      <c r="B741" s="2">
        <v>2.4862343697451261</v>
      </c>
      <c r="C741" s="2">
        <v>4.0893284003750541</v>
      </c>
    </row>
    <row r="742" spans="1:3" x14ac:dyDescent="0.3">
      <c r="A742" s="2">
        <v>7.3793560306430397</v>
      </c>
      <c r="B742" s="2">
        <v>6.9109335298659369</v>
      </c>
      <c r="C742" s="2">
        <v>4.3801017874751951</v>
      </c>
    </row>
    <row r="743" spans="1:3" x14ac:dyDescent="0.3">
      <c r="A743" s="2">
        <v>6.393882490419811</v>
      </c>
      <c r="B743" s="2">
        <v>5.4976974297740622</v>
      </c>
      <c r="C743" s="2">
        <v>7.0456822361425662</v>
      </c>
    </row>
    <row r="744" spans="1:3" x14ac:dyDescent="0.3">
      <c r="A744" s="2">
        <v>9.525389870337829</v>
      </c>
      <c r="B744" s="2">
        <v>6.881787706862931</v>
      </c>
      <c r="C744" s="2">
        <v>5.9475452288367414</v>
      </c>
    </row>
    <row r="745" spans="1:3" x14ac:dyDescent="0.3">
      <c r="A745" s="2">
        <v>7.6384095963102698</v>
      </c>
      <c r="B745" s="2">
        <v>6.1799889216741271</v>
      </c>
      <c r="C745" s="2">
        <v>2.4087469867706761</v>
      </c>
    </row>
    <row r="746" spans="1:3" x14ac:dyDescent="0.3">
      <c r="A746" s="2">
        <v>5.9179848877425396</v>
      </c>
      <c r="B746" s="2">
        <v>5.9579535369824317</v>
      </c>
      <c r="C746" s="2">
        <v>3.5736256196042699</v>
      </c>
    </row>
    <row r="747" spans="1:3" x14ac:dyDescent="0.3">
      <c r="A747" s="2">
        <v>11.251299702260701</v>
      </c>
      <c r="B747" s="2">
        <v>4.7268617864408542</v>
      </c>
      <c r="C747" s="2">
        <v>5.0769636254572346</v>
      </c>
    </row>
    <row r="748" spans="1:3" x14ac:dyDescent="0.3">
      <c r="A748" s="2">
        <v>6.8963914361798277</v>
      </c>
      <c r="B748" s="2">
        <v>8.693480165474444</v>
      </c>
      <c r="C748" s="2">
        <v>4.5661368367218742</v>
      </c>
    </row>
    <row r="749" spans="1:3" x14ac:dyDescent="0.3">
      <c r="A749" s="2">
        <v>7.9135707047043891</v>
      </c>
      <c r="B749" s="2">
        <v>9.024982650501677</v>
      </c>
      <c r="C749" s="2">
        <v>3.7755790891924179</v>
      </c>
    </row>
    <row r="750" spans="1:3" x14ac:dyDescent="0.3">
      <c r="A750" s="2">
        <v>11.354363931791431</v>
      </c>
      <c r="B750" s="2">
        <v>6.9713030413113657</v>
      </c>
      <c r="C750" s="2">
        <v>4.5357252117611022</v>
      </c>
    </row>
    <row r="751" spans="1:3" x14ac:dyDescent="0.3">
      <c r="A751" s="2">
        <v>8.4961877385588362</v>
      </c>
      <c r="B751" s="2">
        <v>4.8345886391005033</v>
      </c>
      <c r="C751" s="2">
        <v>5.5257670946027027</v>
      </c>
    </row>
    <row r="752" spans="1:3" x14ac:dyDescent="0.3">
      <c r="A752" s="2">
        <v>4.9251062714936431</v>
      </c>
      <c r="B752" s="2">
        <v>8.2339879581030235</v>
      </c>
      <c r="C752" s="2">
        <v>5.7439721589647288</v>
      </c>
    </row>
    <row r="753" spans="1:3" x14ac:dyDescent="0.3">
      <c r="A753" s="2">
        <v>11.91760329093619</v>
      </c>
      <c r="B753" s="2">
        <v>8.9681451678498103</v>
      </c>
      <c r="C753" s="2">
        <v>5.0233969309381932</v>
      </c>
    </row>
    <row r="754" spans="1:3" x14ac:dyDescent="0.3">
      <c r="A754" s="2">
        <v>8.5225853802037115</v>
      </c>
      <c r="B754" s="2">
        <v>7.726162539671388</v>
      </c>
      <c r="C754" s="2">
        <v>6.8713280763093412</v>
      </c>
    </row>
    <row r="755" spans="1:3" x14ac:dyDescent="0.3">
      <c r="A755" s="2">
        <v>6.6047657026190913</v>
      </c>
      <c r="B755" s="2">
        <v>8.1621485261249216</v>
      </c>
      <c r="C755" s="2">
        <v>5.8819790647858667</v>
      </c>
    </row>
    <row r="756" spans="1:3" x14ac:dyDescent="0.3">
      <c r="A756" s="2">
        <v>5.1470319181481381</v>
      </c>
      <c r="B756" s="2">
        <v>5.285873551924003</v>
      </c>
      <c r="C756" s="2">
        <v>2.795955312186658</v>
      </c>
    </row>
    <row r="757" spans="1:3" x14ac:dyDescent="0.3">
      <c r="A757" s="2">
        <v>9.977050898604416</v>
      </c>
      <c r="B757" s="2">
        <v>7.9477342077916626</v>
      </c>
      <c r="C757" s="2">
        <v>4.2245939977977756</v>
      </c>
    </row>
    <row r="758" spans="1:3" x14ac:dyDescent="0.3">
      <c r="A758" s="2">
        <v>8.46466210309198</v>
      </c>
      <c r="B758" s="2">
        <v>4.4950697794697829</v>
      </c>
      <c r="C758" s="2">
        <v>4.6423659933268127</v>
      </c>
    </row>
    <row r="759" spans="1:3" x14ac:dyDescent="0.3">
      <c r="A759" s="2">
        <v>7.8444560691715708</v>
      </c>
      <c r="B759" s="2">
        <v>8.3981275729152038</v>
      </c>
      <c r="C759" s="2">
        <v>4.6054091936308934</v>
      </c>
    </row>
    <row r="760" spans="1:3" x14ac:dyDescent="0.3">
      <c r="A760" s="2">
        <v>11.16902983197655</v>
      </c>
      <c r="B760" s="2">
        <v>5.3739758323096396</v>
      </c>
      <c r="C760" s="2">
        <v>3.2728382935984688</v>
      </c>
    </row>
    <row r="761" spans="1:3" x14ac:dyDescent="0.3">
      <c r="A761" s="2">
        <v>9.9217698224405773</v>
      </c>
      <c r="B761" s="2">
        <v>3.5008914078564288</v>
      </c>
      <c r="C761" s="2">
        <v>3.7831951283965291</v>
      </c>
    </row>
    <row r="762" spans="1:3" x14ac:dyDescent="0.3">
      <c r="A762" s="2">
        <v>5.2623836082909836</v>
      </c>
      <c r="B762" s="2">
        <v>9.3728161175394789</v>
      </c>
      <c r="C762" s="2">
        <v>6.8294814645414572</v>
      </c>
    </row>
    <row r="763" spans="1:3" x14ac:dyDescent="0.3">
      <c r="A763" s="2">
        <v>6.4601435871435307</v>
      </c>
      <c r="B763" s="2">
        <v>7.8018976575462169</v>
      </c>
      <c r="C763" s="2">
        <v>2.8600460339234148</v>
      </c>
    </row>
    <row r="764" spans="1:3" x14ac:dyDescent="0.3">
      <c r="A764" s="2">
        <v>6.0357444228996204</v>
      </c>
      <c r="B764" s="2">
        <v>7.0960261211845648</v>
      </c>
      <c r="C764" s="2">
        <v>4.3181314339231722</v>
      </c>
    </row>
    <row r="765" spans="1:3" x14ac:dyDescent="0.3">
      <c r="A765" s="2">
        <v>9.491589441323363</v>
      </c>
      <c r="B765" s="2">
        <v>6.949963163640458</v>
      </c>
      <c r="C765" s="2">
        <v>7.5610075729257424</v>
      </c>
    </row>
    <row r="766" spans="1:3" x14ac:dyDescent="0.3">
      <c r="A766" s="2">
        <v>3.7988521053442001</v>
      </c>
      <c r="B766" s="2">
        <v>5.7049041220137839</v>
      </c>
      <c r="C766" s="2">
        <v>4.7826942788313049</v>
      </c>
    </row>
    <row r="767" spans="1:3" x14ac:dyDescent="0.3">
      <c r="A767" s="2">
        <v>8.0976274217447664</v>
      </c>
      <c r="B767" s="2">
        <v>7.4736211731535809</v>
      </c>
      <c r="C767" s="2">
        <v>9.9546279083571925</v>
      </c>
    </row>
    <row r="768" spans="1:3" x14ac:dyDescent="0.3">
      <c r="A768" s="2">
        <v>9.6649887554085367</v>
      </c>
      <c r="B768" s="2">
        <v>4.5531376970810431</v>
      </c>
      <c r="C768" s="2">
        <v>8.3272375836733694</v>
      </c>
    </row>
    <row r="769" spans="1:3" x14ac:dyDescent="0.3">
      <c r="A769" s="2">
        <v>10.9335598629138</v>
      </c>
      <c r="B769" s="2">
        <v>4.2869991665878517</v>
      </c>
      <c r="C769" s="2">
        <v>0.37315110015293929</v>
      </c>
    </row>
    <row r="770" spans="1:3" x14ac:dyDescent="0.3">
      <c r="A770" s="2">
        <v>6.6485097056530202</v>
      </c>
      <c r="B770" s="2">
        <v>8.5592011669058596</v>
      </c>
      <c r="C770" s="2">
        <v>2.6443468542262778</v>
      </c>
    </row>
    <row r="771" spans="1:3" x14ac:dyDescent="0.3">
      <c r="A771" s="2">
        <v>10.26610338703505</v>
      </c>
      <c r="B771" s="2">
        <v>7.7821421347297939</v>
      </c>
      <c r="C771" s="2">
        <v>5.0630831784606833</v>
      </c>
    </row>
    <row r="772" spans="1:3" x14ac:dyDescent="0.3">
      <c r="A772" s="2">
        <v>4.8592123020653473</v>
      </c>
      <c r="B772" s="2">
        <v>8.6725503392017131</v>
      </c>
      <c r="C772" s="2">
        <v>4.2668635443803957</v>
      </c>
    </row>
    <row r="773" spans="1:3" x14ac:dyDescent="0.3">
      <c r="A773" s="2">
        <v>10.55388417879719</v>
      </c>
      <c r="B773" s="2">
        <v>10.047191142054411</v>
      </c>
      <c r="C773" s="2">
        <v>6.4082139647548724</v>
      </c>
    </row>
    <row r="774" spans="1:3" x14ac:dyDescent="0.3">
      <c r="A774" s="2">
        <v>5.0325786467397284</v>
      </c>
      <c r="B774" s="2">
        <v>4.1239769046219967</v>
      </c>
      <c r="C774" s="2">
        <v>6.2863235769560841</v>
      </c>
    </row>
    <row r="775" spans="1:3" x14ac:dyDescent="0.3">
      <c r="A775" s="2">
        <v>6.9762290745564606</v>
      </c>
      <c r="B775" s="2">
        <v>7.341600748938764</v>
      </c>
      <c r="C775" s="2">
        <v>1.7535674041496949</v>
      </c>
    </row>
    <row r="776" spans="1:3" x14ac:dyDescent="0.3">
      <c r="A776" s="2">
        <v>10.01070802750557</v>
      </c>
      <c r="B776" s="2">
        <v>5.4370965466100092</v>
      </c>
      <c r="C776" s="2">
        <v>7.3707183572928212</v>
      </c>
    </row>
    <row r="777" spans="1:3" x14ac:dyDescent="0.3">
      <c r="A777" s="2">
        <v>5.246333149841222</v>
      </c>
      <c r="B777" s="2">
        <v>7.8951784617333143</v>
      </c>
      <c r="C777" s="2">
        <v>8.9654402358625696</v>
      </c>
    </row>
    <row r="778" spans="1:3" x14ac:dyDescent="0.3">
      <c r="A778" s="2">
        <v>5.896120977549856</v>
      </c>
      <c r="B778" s="2">
        <v>5.225347187187662</v>
      </c>
      <c r="C778" s="2">
        <v>2.0489292856724139</v>
      </c>
    </row>
    <row r="779" spans="1:3" x14ac:dyDescent="0.3">
      <c r="A779" s="2">
        <v>9.2961879493063435</v>
      </c>
      <c r="B779" s="2">
        <v>8.825526581704187</v>
      </c>
      <c r="C779" s="2">
        <v>4.1138218130247797</v>
      </c>
    </row>
    <row r="780" spans="1:3" x14ac:dyDescent="0.3">
      <c r="A780" s="2">
        <v>9.2766640714002797</v>
      </c>
      <c r="B780" s="2">
        <v>8.0402737520141923</v>
      </c>
      <c r="C780" s="2">
        <v>4.2293194080751251</v>
      </c>
    </row>
    <row r="781" spans="1:3" x14ac:dyDescent="0.3">
      <c r="A781" s="2">
        <v>8.6260034136365888</v>
      </c>
      <c r="B781" s="2">
        <v>7.4685589328069382</v>
      </c>
      <c r="C781" s="2">
        <v>7.5328143509732177</v>
      </c>
    </row>
    <row r="782" spans="1:3" x14ac:dyDescent="0.3">
      <c r="A782" s="2">
        <v>9.0523846610261867</v>
      </c>
      <c r="B782" s="2">
        <v>3.320155970976074</v>
      </c>
      <c r="C782" s="2">
        <v>8.0826198930390873</v>
      </c>
    </row>
    <row r="783" spans="1:3" x14ac:dyDescent="0.3">
      <c r="A783" s="2">
        <v>7.9078685888671139</v>
      </c>
      <c r="B783" s="2">
        <v>5.8303417743075636</v>
      </c>
      <c r="C783" s="2">
        <v>3.9946488151456041</v>
      </c>
    </row>
    <row r="784" spans="1:3" x14ac:dyDescent="0.3">
      <c r="A784" s="2">
        <v>6.0592148928673577</v>
      </c>
      <c r="B784" s="2">
        <v>9.6138987843999608</v>
      </c>
      <c r="C784" s="2">
        <v>3.938671898226799</v>
      </c>
    </row>
    <row r="785" spans="1:3" x14ac:dyDescent="0.3">
      <c r="A785" s="2">
        <v>6.6703675417380408</v>
      </c>
      <c r="B785" s="2">
        <v>7.331503543204243</v>
      </c>
      <c r="C785" s="2">
        <v>7.0349329980451722</v>
      </c>
    </row>
    <row r="786" spans="1:3" x14ac:dyDescent="0.3">
      <c r="A786" s="2">
        <v>5.5226116409952049</v>
      </c>
      <c r="B786" s="2">
        <v>8.5710419866054082</v>
      </c>
      <c r="C786" s="2">
        <v>4.4628230092503394</v>
      </c>
    </row>
    <row r="787" spans="1:3" x14ac:dyDescent="0.3">
      <c r="A787" s="2">
        <v>11.384622512036</v>
      </c>
      <c r="B787" s="2">
        <v>3.2249846392588539</v>
      </c>
      <c r="C787" s="2">
        <v>5.3784823109429682</v>
      </c>
    </row>
    <row r="788" spans="1:3" x14ac:dyDescent="0.3">
      <c r="A788" s="2">
        <v>8.1941746271516269</v>
      </c>
      <c r="B788" s="2">
        <v>3.400825790007854</v>
      </c>
      <c r="C788" s="2">
        <v>6.9149374339195191</v>
      </c>
    </row>
    <row r="789" spans="1:3" x14ac:dyDescent="0.3">
      <c r="A789" s="2">
        <v>6.9976195368056224</v>
      </c>
      <c r="B789" s="2">
        <v>5.9260136880470151</v>
      </c>
      <c r="C789" s="2">
        <v>6.438413504101085</v>
      </c>
    </row>
    <row r="790" spans="1:3" x14ac:dyDescent="0.3">
      <c r="A790" s="2">
        <v>7.3750796692934939</v>
      </c>
      <c r="B790" s="2">
        <v>6.9030718842418128</v>
      </c>
      <c r="C790" s="2">
        <v>5.5116445499587448</v>
      </c>
    </row>
    <row r="791" spans="1:3" x14ac:dyDescent="0.3">
      <c r="A791" s="2">
        <v>12.063599181705589</v>
      </c>
      <c r="B791" s="2">
        <v>7.1555509882560981</v>
      </c>
      <c r="C791" s="2">
        <v>2.1493266190507279</v>
      </c>
    </row>
    <row r="792" spans="1:3" x14ac:dyDescent="0.3">
      <c r="A792" s="2">
        <v>5.2776085200708174</v>
      </c>
      <c r="B792" s="2">
        <v>5.0633952729959857</v>
      </c>
      <c r="C792" s="2">
        <v>6.1645646439868758</v>
      </c>
    </row>
    <row r="793" spans="1:3" x14ac:dyDescent="0.3">
      <c r="A793" s="2">
        <v>8.2146661626952078</v>
      </c>
      <c r="B793" s="2">
        <v>5.783953367631514</v>
      </c>
      <c r="C793" s="2">
        <v>6.9863311400313899</v>
      </c>
    </row>
    <row r="794" spans="1:3" x14ac:dyDescent="0.3">
      <c r="A794" s="2">
        <v>7.6593457374523357</v>
      </c>
      <c r="B794" s="2">
        <v>3.7799127913424821</v>
      </c>
      <c r="C794" s="2">
        <v>6.4840430381299026</v>
      </c>
    </row>
    <row r="795" spans="1:3" x14ac:dyDescent="0.3">
      <c r="A795" s="2">
        <v>8.3999748021178213</v>
      </c>
      <c r="B795" s="2">
        <v>6.540250890047985</v>
      </c>
      <c r="C795" s="2">
        <v>2.0172313291474042</v>
      </c>
    </row>
    <row r="796" spans="1:3" x14ac:dyDescent="0.3">
      <c r="A796" s="2">
        <v>3.454527814171219</v>
      </c>
      <c r="B796" s="2">
        <v>4.0618485552620456</v>
      </c>
      <c r="C796" s="2">
        <v>6.6231211191899924</v>
      </c>
    </row>
    <row r="797" spans="1:3" x14ac:dyDescent="0.3">
      <c r="A797" s="2">
        <v>10.87261184055491</v>
      </c>
      <c r="B797" s="2">
        <v>7.7557520530146862</v>
      </c>
      <c r="C797" s="2">
        <v>3.4177101855056859</v>
      </c>
    </row>
    <row r="798" spans="1:3" x14ac:dyDescent="0.3">
      <c r="A798" s="2">
        <v>11.775706473512569</v>
      </c>
      <c r="B798" s="2">
        <v>6.2352154094259902</v>
      </c>
      <c r="C798" s="2">
        <v>0</v>
      </c>
    </row>
    <row r="799" spans="1:3" x14ac:dyDescent="0.3">
      <c r="A799" s="2">
        <v>8.0639777571421511</v>
      </c>
      <c r="B799" s="2">
        <v>7.733317617256394</v>
      </c>
      <c r="C799" s="2">
        <v>4.5758147411811034</v>
      </c>
    </row>
    <row r="800" spans="1:3" x14ac:dyDescent="0.3">
      <c r="A800" s="2">
        <v>9.0751613031492724</v>
      </c>
      <c r="B800" s="2">
        <v>4.7710240476885666</v>
      </c>
      <c r="C800" s="2">
        <v>2.4932009848224839</v>
      </c>
    </row>
    <row r="801" spans="1:3" x14ac:dyDescent="0.3">
      <c r="A801" s="2">
        <v>11.609632540030329</v>
      </c>
      <c r="B801" s="2">
        <v>6.4225154568522118</v>
      </c>
      <c r="C801" s="2">
        <v>4.8957600009968241</v>
      </c>
    </row>
    <row r="802" spans="1:3" x14ac:dyDescent="0.3">
      <c r="A802" s="2">
        <v>9.1653918681643205</v>
      </c>
      <c r="B802" s="2">
        <v>5.078650551535679</v>
      </c>
      <c r="C802" s="2">
        <v>2.2798320889293642</v>
      </c>
    </row>
    <row r="803" spans="1:3" x14ac:dyDescent="0.3">
      <c r="A803" s="2">
        <v>5.2702417311520833</v>
      </c>
      <c r="B803" s="2">
        <v>4.6090372455513142</v>
      </c>
      <c r="C803" s="2">
        <v>4.4565879673687654</v>
      </c>
    </row>
    <row r="804" spans="1:3" x14ac:dyDescent="0.3">
      <c r="A804" s="2">
        <v>8.1431894716148392</v>
      </c>
      <c r="B804" s="2">
        <v>5.6691541509569774</v>
      </c>
      <c r="C804" s="2">
        <v>1.490226281883654</v>
      </c>
    </row>
    <row r="805" spans="1:3" x14ac:dyDescent="0.3">
      <c r="A805" s="2">
        <v>8.3647098371912687</v>
      </c>
      <c r="B805" s="2">
        <v>4.3193981526240171</v>
      </c>
      <c r="C805" s="2">
        <v>3.4811834011074252</v>
      </c>
    </row>
    <row r="806" spans="1:3" x14ac:dyDescent="0.3">
      <c r="A806" s="2">
        <v>7.1389259684776407</v>
      </c>
      <c r="B806" s="2">
        <v>8.2602094896050708</v>
      </c>
      <c r="C806" s="2">
        <v>5.6062844617567462</v>
      </c>
    </row>
    <row r="807" spans="1:3" x14ac:dyDescent="0.3">
      <c r="A807" s="2">
        <v>9.4231120926264662</v>
      </c>
      <c r="B807" s="2">
        <v>6.2795466006477687</v>
      </c>
      <c r="C807" s="2">
        <v>8.6164261438191687</v>
      </c>
    </row>
    <row r="808" spans="1:3" x14ac:dyDescent="0.3">
      <c r="A808" s="2">
        <v>11.816199701883839</v>
      </c>
      <c r="B808" s="2">
        <v>5.7221393448160374</v>
      </c>
      <c r="C808" s="2">
        <v>4.3124960808545438</v>
      </c>
    </row>
    <row r="809" spans="1:3" x14ac:dyDescent="0.3">
      <c r="A809" s="2">
        <v>11.66144171772021</v>
      </c>
      <c r="B809" s="2">
        <v>6.5270723609020376</v>
      </c>
      <c r="C809" s="2">
        <v>4.8718299461629888</v>
      </c>
    </row>
    <row r="810" spans="1:3" x14ac:dyDescent="0.3">
      <c r="A810" s="2">
        <v>7.3046155129804218</v>
      </c>
      <c r="B810" s="2">
        <v>5.544000953043752</v>
      </c>
      <c r="C810" s="2">
        <v>6.5762964938176056</v>
      </c>
    </row>
    <row r="811" spans="1:3" x14ac:dyDescent="0.3">
      <c r="A811" s="2">
        <v>4.8868401886696136</v>
      </c>
      <c r="B811" s="2">
        <v>6.1030830728275109</v>
      </c>
      <c r="C811" s="2">
        <v>5.7512623869266131</v>
      </c>
    </row>
    <row r="812" spans="1:3" x14ac:dyDescent="0.3">
      <c r="A812" s="2">
        <v>13.0543783373901</v>
      </c>
      <c r="B812" s="2">
        <v>7.4847706796924038</v>
      </c>
      <c r="C812" s="2">
        <v>5.857999884968196</v>
      </c>
    </row>
    <row r="813" spans="1:3" x14ac:dyDescent="0.3">
      <c r="A813" s="2">
        <v>10.465270602103679</v>
      </c>
      <c r="B813" s="2">
        <v>6.0306796742767537</v>
      </c>
      <c r="C813" s="2">
        <v>6.3675526623047896</v>
      </c>
    </row>
    <row r="814" spans="1:3" x14ac:dyDescent="0.3">
      <c r="A814" s="2">
        <v>5.0043521100948158</v>
      </c>
      <c r="B814" s="2">
        <v>6.0864321600947751</v>
      </c>
      <c r="C814" s="2">
        <v>4.1001861570189533</v>
      </c>
    </row>
    <row r="815" spans="1:3" x14ac:dyDescent="0.3">
      <c r="A815" s="2">
        <v>11.582079106812451</v>
      </c>
      <c r="B815" s="2">
        <v>8.2801573454555655</v>
      </c>
      <c r="C815" s="2">
        <v>3.2463252383499599</v>
      </c>
    </row>
    <row r="816" spans="1:3" x14ac:dyDescent="0.3">
      <c r="A816" s="2">
        <v>10.843756121396879</v>
      </c>
      <c r="B816" s="2">
        <v>3.8868092429141732</v>
      </c>
      <c r="C816" s="2">
        <v>5.4860874826559121</v>
      </c>
    </row>
    <row r="817" spans="1:3" x14ac:dyDescent="0.3">
      <c r="A817" s="2">
        <v>7.7456215625341063</v>
      </c>
      <c r="B817" s="2">
        <v>5.1469723502024518</v>
      </c>
      <c r="C817" s="2">
        <v>6.4137850242156347E-3</v>
      </c>
    </row>
    <row r="818" spans="1:3" x14ac:dyDescent="0.3">
      <c r="A818" s="2">
        <v>8.2512713313512087</v>
      </c>
      <c r="B818" s="2">
        <v>5.530957635518515</v>
      </c>
      <c r="C818" s="2">
        <v>0.58773829917749953</v>
      </c>
    </row>
    <row r="819" spans="1:3" x14ac:dyDescent="0.3">
      <c r="A819" s="2">
        <v>6.9865163825704766</v>
      </c>
      <c r="B819" s="2">
        <v>9.1761176424353597</v>
      </c>
      <c r="C819" s="2">
        <v>8.0404466016592124</v>
      </c>
    </row>
    <row r="820" spans="1:3" x14ac:dyDescent="0.3">
      <c r="A820" s="2">
        <v>4.1598367537611631</v>
      </c>
      <c r="B820" s="2">
        <v>6.0994966457174442</v>
      </c>
      <c r="C820" s="2">
        <v>7.2842546010675191</v>
      </c>
    </row>
    <row r="821" spans="1:3" x14ac:dyDescent="0.3">
      <c r="A821" s="2">
        <v>6.6065524746684137</v>
      </c>
      <c r="B821" s="2">
        <v>5.3523662440540978</v>
      </c>
      <c r="C821" s="2">
        <v>3.472754626454241</v>
      </c>
    </row>
    <row r="822" spans="1:3" x14ac:dyDescent="0.3">
      <c r="A822" s="2">
        <v>10.06854161095816</v>
      </c>
      <c r="B822" s="2">
        <v>4.1373040103666057</v>
      </c>
      <c r="C822" s="2">
        <v>2.316559410437288</v>
      </c>
    </row>
    <row r="823" spans="1:3" x14ac:dyDescent="0.3">
      <c r="A823" s="2">
        <v>2.9827391400762631</v>
      </c>
      <c r="B823" s="2">
        <v>5.0986564268726982</v>
      </c>
      <c r="C823" s="2">
        <v>6.0390071272139894</v>
      </c>
    </row>
    <row r="824" spans="1:3" x14ac:dyDescent="0.3">
      <c r="A824" s="2">
        <v>6.5961376109429546</v>
      </c>
      <c r="B824" s="2">
        <v>7.6098090699191179</v>
      </c>
      <c r="C824" s="2">
        <v>6.3767551655723276</v>
      </c>
    </row>
    <row r="825" spans="1:3" x14ac:dyDescent="0.3">
      <c r="A825" s="2">
        <v>6.9815130041748956</v>
      </c>
      <c r="B825" s="2">
        <v>4.5463658727329372</v>
      </c>
      <c r="C825" s="2">
        <v>3.0263790380873781</v>
      </c>
    </row>
    <row r="826" spans="1:3" x14ac:dyDescent="0.3">
      <c r="A826" s="2">
        <v>7.8713122452095456</v>
      </c>
      <c r="B826" s="2">
        <v>6.8099609562356314</v>
      </c>
      <c r="C826" s="2">
        <v>4.6342442757972213</v>
      </c>
    </row>
    <row r="827" spans="1:3" x14ac:dyDescent="0.3">
      <c r="A827" s="2">
        <v>11.56582067220487</v>
      </c>
      <c r="B827" s="2">
        <v>9.1297523319382048</v>
      </c>
      <c r="C827" s="2">
        <v>1.1155236200993051</v>
      </c>
    </row>
    <row r="828" spans="1:3" x14ac:dyDescent="0.3">
      <c r="A828" s="2">
        <v>6.6742864032732001</v>
      </c>
      <c r="B828" s="2">
        <v>6.0705801001684696</v>
      </c>
      <c r="C828" s="2">
        <v>3.9779604513699578</v>
      </c>
    </row>
    <row r="829" spans="1:3" x14ac:dyDescent="0.3">
      <c r="A829" s="2">
        <v>6.6779439425869773</v>
      </c>
      <c r="B829" s="2">
        <v>5.2281192582908904</v>
      </c>
      <c r="C829" s="2">
        <v>4.4043508623992436</v>
      </c>
    </row>
    <row r="830" spans="1:3" x14ac:dyDescent="0.3">
      <c r="A830" s="2">
        <v>9.4327007710174104</v>
      </c>
      <c r="B830" s="2">
        <v>3.7746775999305551</v>
      </c>
      <c r="C830" s="2">
        <v>5.2415068292231561</v>
      </c>
    </row>
    <row r="831" spans="1:3" x14ac:dyDescent="0.3">
      <c r="A831" s="2">
        <v>7.3132757658114036</v>
      </c>
      <c r="B831" s="2">
        <v>6.8794828539767474</v>
      </c>
      <c r="C831" s="2">
        <v>9.5528867310770824</v>
      </c>
    </row>
    <row r="832" spans="1:3" x14ac:dyDescent="0.3">
      <c r="A832" s="2">
        <v>5.8615277244298447</v>
      </c>
      <c r="B832" s="2">
        <v>6.9373880869224092</v>
      </c>
      <c r="C832" s="2">
        <v>2.423974931183118</v>
      </c>
    </row>
    <row r="833" spans="1:3" x14ac:dyDescent="0.3">
      <c r="A833" s="2">
        <v>7.3146687303201308</v>
      </c>
      <c r="B833" s="2">
        <v>3.758990996617269</v>
      </c>
      <c r="C833" s="2">
        <v>8.0546324980737385</v>
      </c>
    </row>
    <row r="834" spans="1:3" x14ac:dyDescent="0.3">
      <c r="A834" s="2">
        <v>5.1620512195124517</v>
      </c>
      <c r="B834" s="2">
        <v>2.8923770799554211</v>
      </c>
      <c r="C834" s="2">
        <v>3.67841412695577</v>
      </c>
    </row>
    <row r="835" spans="1:3" x14ac:dyDescent="0.3">
      <c r="A835" s="2">
        <v>5.4789308973401996</v>
      </c>
      <c r="B835" s="2">
        <v>6.6340028467586789</v>
      </c>
      <c r="C835" s="2">
        <v>3.4652892419569672</v>
      </c>
    </row>
    <row r="836" spans="1:3" x14ac:dyDescent="0.3">
      <c r="A836" s="2">
        <v>7.609755828786323</v>
      </c>
      <c r="B836" s="2">
        <v>5.6819805160538124</v>
      </c>
      <c r="C836" s="2">
        <v>7.0931831600293176</v>
      </c>
    </row>
    <row r="837" spans="1:3" x14ac:dyDescent="0.3">
      <c r="A837" s="2">
        <v>7.1070856073193553</v>
      </c>
      <c r="B837" s="2">
        <v>8.3709815748371526</v>
      </c>
      <c r="C837" s="2">
        <v>3.4338848955050079</v>
      </c>
    </row>
    <row r="838" spans="1:3" x14ac:dyDescent="0.3">
      <c r="A838" s="2">
        <v>11.48473907597743</v>
      </c>
      <c r="B838" s="2">
        <v>3.7219480938727538</v>
      </c>
      <c r="C838" s="2">
        <v>3.029288433267344</v>
      </c>
    </row>
    <row r="839" spans="1:3" x14ac:dyDescent="0.3">
      <c r="A839" s="2">
        <v>6.7698989524996733</v>
      </c>
      <c r="B839" s="2">
        <v>9.462131426346744</v>
      </c>
      <c r="C839" s="2">
        <v>6.1775358966218752</v>
      </c>
    </row>
    <row r="840" spans="1:3" x14ac:dyDescent="0.3">
      <c r="A840" s="2">
        <v>8.1740012750642741</v>
      </c>
      <c r="B840" s="2">
        <v>6.1951956328860103</v>
      </c>
      <c r="C840" s="2">
        <v>5.8920483902916718</v>
      </c>
    </row>
    <row r="841" spans="1:3" x14ac:dyDescent="0.3">
      <c r="A841" s="2">
        <v>8.5574333896774366</v>
      </c>
      <c r="B841" s="2">
        <v>6.2887704637310469</v>
      </c>
      <c r="C841" s="2">
        <v>3.7884308445517041</v>
      </c>
    </row>
    <row r="842" spans="1:3" x14ac:dyDescent="0.3">
      <c r="A842" s="2">
        <v>3.3116539354669978</v>
      </c>
      <c r="B842" s="2">
        <v>8.2469227348325269</v>
      </c>
      <c r="C842" s="2">
        <v>8.6732578595237815</v>
      </c>
    </row>
    <row r="843" spans="1:3" x14ac:dyDescent="0.3">
      <c r="A843" s="2">
        <v>8.8026919366416365</v>
      </c>
      <c r="B843" s="2">
        <v>8.5443403378117058</v>
      </c>
      <c r="C843" s="2">
        <v>3.8466926674449602</v>
      </c>
    </row>
    <row r="844" spans="1:3" x14ac:dyDescent="0.3">
      <c r="A844" s="2">
        <v>5.4928229973082594</v>
      </c>
      <c r="B844" s="2">
        <v>5.3523904552412622</v>
      </c>
      <c r="C844" s="2">
        <v>1.554308381359234</v>
      </c>
    </row>
    <row r="845" spans="1:3" x14ac:dyDescent="0.3">
      <c r="A845" s="2">
        <v>12.3640991547759</v>
      </c>
      <c r="B845" s="2">
        <v>7.2879282202777427</v>
      </c>
      <c r="C845" s="2">
        <v>2.4358718978988758</v>
      </c>
    </row>
    <row r="846" spans="1:3" x14ac:dyDescent="0.3">
      <c r="A846" s="2">
        <v>5.2348165995655194</v>
      </c>
      <c r="B846" s="2">
        <v>5.7106474545722969</v>
      </c>
      <c r="C846" s="2">
        <v>2.3705003193804539</v>
      </c>
    </row>
    <row r="847" spans="1:3" x14ac:dyDescent="0.3">
      <c r="A847" s="2">
        <v>7.0808818405848681</v>
      </c>
      <c r="B847" s="2">
        <v>4.0125250057246884</v>
      </c>
      <c r="C847" s="2">
        <v>4.1122427576001712</v>
      </c>
    </row>
    <row r="848" spans="1:3" x14ac:dyDescent="0.3">
      <c r="A848" s="2">
        <v>4.5721828589766327</v>
      </c>
      <c r="B848" s="2">
        <v>7.0811686951775856</v>
      </c>
      <c r="C848" s="2">
        <v>7.9037281527928691</v>
      </c>
    </row>
    <row r="849" spans="1:3" x14ac:dyDescent="0.3">
      <c r="A849" s="2">
        <v>13.679781512076049</v>
      </c>
      <c r="B849" s="2">
        <v>5.518343029902125</v>
      </c>
      <c r="C849" s="2">
        <v>1.08604264257234</v>
      </c>
    </row>
    <row r="850" spans="1:3" x14ac:dyDescent="0.3">
      <c r="A850" s="2">
        <v>7.6349443257866412</v>
      </c>
      <c r="B850" s="2">
        <v>4.7284690306110981</v>
      </c>
      <c r="C850" s="2">
        <v>8.4704637301891452</v>
      </c>
    </row>
    <row r="851" spans="1:3" x14ac:dyDescent="0.3">
      <c r="A851" s="2">
        <v>8.2812530717701236</v>
      </c>
      <c r="B851" s="2">
        <v>4.7694314327795526</v>
      </c>
      <c r="C851" s="2">
        <v>3.4062264609620772</v>
      </c>
    </row>
    <row r="852" spans="1:3" x14ac:dyDescent="0.3">
      <c r="A852" s="2">
        <v>4.3370132218935673</v>
      </c>
      <c r="B852" s="2">
        <v>7.2231944528130763</v>
      </c>
      <c r="C852" s="2">
        <v>3.663001397927073</v>
      </c>
    </row>
    <row r="853" spans="1:3" x14ac:dyDescent="0.3">
      <c r="A853" s="2">
        <v>9.5472134722470692</v>
      </c>
      <c r="B853" s="2">
        <v>6.0105658525315206</v>
      </c>
      <c r="C853" s="2">
        <v>3.2049729688843009</v>
      </c>
    </row>
    <row r="854" spans="1:3" x14ac:dyDescent="0.3">
      <c r="A854" s="2">
        <v>5.7496692737321622</v>
      </c>
      <c r="B854" s="2">
        <v>5.5402511246893074</v>
      </c>
      <c r="C854" s="2">
        <v>3.768317840625063</v>
      </c>
    </row>
    <row r="855" spans="1:3" x14ac:dyDescent="0.3">
      <c r="A855" s="2">
        <v>11.22906418443228</v>
      </c>
      <c r="B855" s="2">
        <v>5.1951632363561888</v>
      </c>
      <c r="C855" s="2">
        <v>4.3409951311299153</v>
      </c>
    </row>
    <row r="856" spans="1:3" x14ac:dyDescent="0.3">
      <c r="A856" s="2">
        <v>5.7125652230966111</v>
      </c>
      <c r="B856" s="2">
        <v>3.7620830663703462</v>
      </c>
      <c r="C856" s="2">
        <v>4.581027418892857</v>
      </c>
    </row>
    <row r="857" spans="1:3" x14ac:dyDescent="0.3">
      <c r="A857" s="2">
        <v>5.5973374415115096</v>
      </c>
      <c r="B857" s="2">
        <v>7.9742558964596268</v>
      </c>
      <c r="C857" s="2">
        <v>5.4607954874924456</v>
      </c>
    </row>
    <row r="858" spans="1:3" x14ac:dyDescent="0.3">
      <c r="A858" s="2">
        <v>3.8560286831176001</v>
      </c>
      <c r="B858" s="2">
        <v>6.018911491787736</v>
      </c>
      <c r="C858" s="2">
        <v>0.44814265083610932</v>
      </c>
    </row>
    <row r="859" spans="1:3" x14ac:dyDescent="0.3">
      <c r="A859" s="2">
        <v>7.4391979845305141</v>
      </c>
      <c r="B859" s="2">
        <v>6.8681569634231181</v>
      </c>
      <c r="C859" s="2">
        <v>4.5609775268877639</v>
      </c>
    </row>
    <row r="860" spans="1:3" x14ac:dyDescent="0.3">
      <c r="A860" s="2">
        <v>8.0619176706301285</v>
      </c>
      <c r="B860" s="2">
        <v>6.7509362916674283</v>
      </c>
      <c r="C860" s="2">
        <v>5.8855596405452362</v>
      </c>
    </row>
    <row r="861" spans="1:3" x14ac:dyDescent="0.3">
      <c r="A861" s="2">
        <v>4.3181863627363413</v>
      </c>
      <c r="B861" s="2">
        <v>9.3545033275735978</v>
      </c>
      <c r="C861" s="2">
        <v>4.7216323527476218</v>
      </c>
    </row>
    <row r="862" spans="1:3" x14ac:dyDescent="0.3">
      <c r="A862" s="2">
        <v>9.7915060455359608</v>
      </c>
      <c r="B862" s="2">
        <v>6.0775250606514781</v>
      </c>
      <c r="C862" s="2">
        <v>4.2922334214953706</v>
      </c>
    </row>
    <row r="863" spans="1:3" x14ac:dyDescent="0.3">
      <c r="A863" s="2">
        <v>7.3200107058574746</v>
      </c>
      <c r="B863" s="2">
        <v>4.561255017135859</v>
      </c>
      <c r="C863" s="2">
        <v>3.7949277698638011</v>
      </c>
    </row>
    <row r="864" spans="1:3" x14ac:dyDescent="0.3">
      <c r="A864" s="2">
        <v>7.7829687174193918</v>
      </c>
      <c r="B864" s="2">
        <v>6.2843951125163828</v>
      </c>
      <c r="C864" s="2">
        <v>7.0929919077319212</v>
      </c>
    </row>
    <row r="865" spans="1:3" x14ac:dyDescent="0.3">
      <c r="A865" s="2">
        <v>7.241640899602249</v>
      </c>
      <c r="B865" s="2">
        <v>2.893498996919786</v>
      </c>
      <c r="C865" s="2">
        <v>5.8687570364405977</v>
      </c>
    </row>
    <row r="866" spans="1:3" x14ac:dyDescent="0.3">
      <c r="A866" s="2">
        <v>6.9970884921849636</v>
      </c>
      <c r="B866" s="2">
        <v>5.7889819972464363</v>
      </c>
      <c r="C866" s="2">
        <v>4.4184612933567831</v>
      </c>
    </row>
    <row r="867" spans="1:3" x14ac:dyDescent="0.3">
      <c r="A867" s="2">
        <v>8.0253469639716197</v>
      </c>
      <c r="B867" s="2">
        <v>7.3309843589761661</v>
      </c>
      <c r="C867" s="2">
        <v>5.9648009905855419</v>
      </c>
    </row>
    <row r="868" spans="1:3" x14ac:dyDescent="0.3">
      <c r="A868" s="2">
        <v>5.2946621929625319</v>
      </c>
      <c r="B868" s="2">
        <v>4.5372101676466947</v>
      </c>
      <c r="C868" s="2">
        <v>6.8223393306679627</v>
      </c>
    </row>
    <row r="869" spans="1:3" x14ac:dyDescent="0.3">
      <c r="A869" s="2">
        <v>5.525360184377571</v>
      </c>
      <c r="B869" s="2">
        <v>8.9869270268682353</v>
      </c>
      <c r="C869" s="2">
        <v>2.0017082260326751</v>
      </c>
    </row>
    <row r="870" spans="1:3" x14ac:dyDescent="0.3">
      <c r="A870" s="2">
        <v>10.74072248400773</v>
      </c>
      <c r="B870" s="2">
        <v>3.8028513882198252</v>
      </c>
      <c r="C870" s="2">
        <v>5.9354582868249439</v>
      </c>
    </row>
    <row r="871" spans="1:3" x14ac:dyDescent="0.3">
      <c r="A871" s="2">
        <v>12.040064054544651</v>
      </c>
      <c r="B871" s="2">
        <v>7.1327616822224558</v>
      </c>
      <c r="C871" s="2">
        <v>3.1128103758965211</v>
      </c>
    </row>
    <row r="872" spans="1:3" x14ac:dyDescent="0.3">
      <c r="A872" s="2">
        <v>6.833937320623793</v>
      </c>
      <c r="B872" s="2">
        <v>5.4653821432463046</v>
      </c>
      <c r="C872" s="2">
        <v>7.5937109653450987</v>
      </c>
    </row>
    <row r="873" spans="1:3" x14ac:dyDescent="0.3">
      <c r="A873" s="2">
        <v>6.1906861836049121</v>
      </c>
      <c r="B873" s="2">
        <v>9.9449414383028323</v>
      </c>
      <c r="C873" s="2">
        <v>2.8752476267092009</v>
      </c>
    </row>
    <row r="874" spans="1:3" x14ac:dyDescent="0.3">
      <c r="A874" s="2">
        <v>8.6481967302176486</v>
      </c>
      <c r="B874" s="2">
        <v>6.0384345281261522</v>
      </c>
      <c r="C874" s="2">
        <v>4.8265754531162992</v>
      </c>
    </row>
    <row r="875" spans="1:3" x14ac:dyDescent="0.3">
      <c r="A875" s="2">
        <v>7.0451558041892479</v>
      </c>
      <c r="B875" s="2">
        <v>4.0940669057150094</v>
      </c>
      <c r="C875" s="2">
        <v>5.4594240477676914</v>
      </c>
    </row>
    <row r="876" spans="1:3" x14ac:dyDescent="0.3">
      <c r="A876" s="2">
        <v>3.630127228798576</v>
      </c>
      <c r="B876" s="2">
        <v>8.3173997148827148</v>
      </c>
      <c r="C876" s="2">
        <v>0.98384695470303418</v>
      </c>
    </row>
    <row r="877" spans="1:3" x14ac:dyDescent="0.3">
      <c r="A877" s="2">
        <v>5.3028623179694421</v>
      </c>
      <c r="B877" s="2">
        <v>7.0442046666405611</v>
      </c>
      <c r="C877" s="2">
        <v>0.50399576275381186</v>
      </c>
    </row>
    <row r="878" spans="1:3" x14ac:dyDescent="0.3">
      <c r="A878" s="2">
        <v>9.2410561178419925</v>
      </c>
      <c r="B878" s="2">
        <v>8.0747892092004427</v>
      </c>
      <c r="C878" s="2">
        <v>4.0022215253939626</v>
      </c>
    </row>
    <row r="879" spans="1:3" x14ac:dyDescent="0.3">
      <c r="A879" s="2">
        <v>8.7658151384573699</v>
      </c>
      <c r="B879" s="2">
        <v>7.6381561604159742</v>
      </c>
      <c r="C879" s="2">
        <v>8.408846748349017</v>
      </c>
    </row>
    <row r="880" spans="1:3" x14ac:dyDescent="0.3">
      <c r="A880" s="2">
        <v>3.6675612972560598</v>
      </c>
      <c r="B880" s="2">
        <v>5.0562336247050679</v>
      </c>
      <c r="C880" s="2">
        <v>4.4978645319623576</v>
      </c>
    </row>
    <row r="881" spans="1:3" x14ac:dyDescent="0.3">
      <c r="A881" s="2">
        <v>5.8417689128434187</v>
      </c>
      <c r="B881" s="2">
        <v>10.77648411897137</v>
      </c>
      <c r="C881" s="2">
        <v>5.893366728175323</v>
      </c>
    </row>
    <row r="882" spans="1:3" x14ac:dyDescent="0.3">
      <c r="A882" s="2">
        <v>5.9096001255786392</v>
      </c>
      <c r="B882" s="2">
        <v>8.4647118476127723</v>
      </c>
      <c r="C882" s="2">
        <v>0</v>
      </c>
    </row>
    <row r="883" spans="1:3" x14ac:dyDescent="0.3">
      <c r="A883" s="2">
        <v>8.8701288702988244</v>
      </c>
      <c r="B883" s="2">
        <v>8.2385579905395101</v>
      </c>
      <c r="C883" s="2">
        <v>6.643608897551279</v>
      </c>
    </row>
    <row r="884" spans="1:3" x14ac:dyDescent="0.3">
      <c r="A884" s="2">
        <v>3.4958097983159542</v>
      </c>
      <c r="B884" s="2">
        <v>5.8531056651738043</v>
      </c>
      <c r="C884" s="2">
        <v>5.9266536861363956</v>
      </c>
    </row>
    <row r="885" spans="1:3" x14ac:dyDescent="0.3">
      <c r="A885" s="2">
        <v>4.7886027963899522</v>
      </c>
      <c r="B885" s="2">
        <v>3.8294879338039909</v>
      </c>
      <c r="C885" s="2">
        <v>6.2754242243829994</v>
      </c>
    </row>
    <row r="886" spans="1:3" x14ac:dyDescent="0.3">
      <c r="A886" s="2">
        <v>10.037877304981359</v>
      </c>
      <c r="B886" s="2">
        <v>3.2708970755272921</v>
      </c>
      <c r="C886" s="2">
        <v>4.9824433315423544</v>
      </c>
    </row>
    <row r="887" spans="1:3" x14ac:dyDescent="0.3">
      <c r="A887" s="2">
        <v>5.4970955853882142</v>
      </c>
      <c r="B887" s="2">
        <v>3.84492780673463</v>
      </c>
      <c r="C887" s="2">
        <v>2.212479716527215</v>
      </c>
    </row>
    <row r="888" spans="1:3" x14ac:dyDescent="0.3">
      <c r="A888" s="2">
        <v>8.7168219085839738</v>
      </c>
      <c r="B888" s="2">
        <v>4.9000247356925577</v>
      </c>
      <c r="C888" s="2">
        <v>3.308280876207943</v>
      </c>
    </row>
    <row r="889" spans="1:3" x14ac:dyDescent="0.3">
      <c r="A889" s="2">
        <v>5.9616434990421538</v>
      </c>
      <c r="B889" s="2">
        <v>5.4002260610862596</v>
      </c>
      <c r="C889" s="2">
        <v>2.9859561227524538</v>
      </c>
    </row>
    <row r="890" spans="1:3" x14ac:dyDescent="0.3">
      <c r="A890" s="2">
        <v>4.7367155540485371</v>
      </c>
      <c r="B890" s="2">
        <v>4.9326251995169299</v>
      </c>
      <c r="C890" s="2">
        <v>6.0398062599378148</v>
      </c>
    </row>
    <row r="891" spans="1:3" x14ac:dyDescent="0.3">
      <c r="A891" s="2">
        <v>5.9977125280935439</v>
      </c>
      <c r="B891" s="2">
        <v>8.4123707223100883</v>
      </c>
      <c r="C891" s="2">
        <v>4.4077402433071411</v>
      </c>
    </row>
    <row r="892" spans="1:3" x14ac:dyDescent="0.3">
      <c r="A892" s="2">
        <v>9.2963147490956324</v>
      </c>
      <c r="B892" s="2">
        <v>7.0533655544315588</v>
      </c>
      <c r="C892" s="2">
        <v>6.6358312483295014</v>
      </c>
    </row>
    <row r="893" spans="1:3" x14ac:dyDescent="0.3">
      <c r="A893" s="2">
        <v>10.66534304474143</v>
      </c>
      <c r="B893" s="2">
        <v>9.1441689254179082</v>
      </c>
      <c r="C893" s="2">
        <v>6.2053072401424716</v>
      </c>
    </row>
    <row r="894" spans="1:3" x14ac:dyDescent="0.3">
      <c r="A894" s="2">
        <v>10.365998940298811</v>
      </c>
      <c r="B894" s="2">
        <v>5.4490726795923781</v>
      </c>
      <c r="C894" s="2">
        <v>8.5852649243570696</v>
      </c>
    </row>
    <row r="895" spans="1:3" x14ac:dyDescent="0.3">
      <c r="A895" s="2">
        <v>6.9756072915687799</v>
      </c>
      <c r="B895" s="2">
        <v>6.7531760725350214</v>
      </c>
      <c r="C895" s="2">
        <v>5.1233978767876716</v>
      </c>
    </row>
    <row r="896" spans="1:3" x14ac:dyDescent="0.3">
      <c r="A896" s="2">
        <v>8.8392921292320494</v>
      </c>
      <c r="B896" s="2">
        <v>9.2740656756274031</v>
      </c>
      <c r="C896" s="2">
        <v>4.4238724341428561</v>
      </c>
    </row>
    <row r="897" spans="1:3" x14ac:dyDescent="0.3">
      <c r="A897" s="2">
        <v>5.7113486111554366</v>
      </c>
      <c r="B897" s="2">
        <v>9.2096005648060917</v>
      </c>
      <c r="C897" s="2">
        <v>5.0959964644440614</v>
      </c>
    </row>
    <row r="898" spans="1:3" x14ac:dyDescent="0.3">
      <c r="A898" s="2">
        <v>6.3403466392282324</v>
      </c>
      <c r="B898" s="2">
        <v>2.6743105501812532</v>
      </c>
      <c r="C898" s="2">
        <v>0</v>
      </c>
    </row>
    <row r="899" spans="1:3" x14ac:dyDescent="0.3">
      <c r="A899" s="2">
        <v>11.204128702290189</v>
      </c>
      <c r="B899" s="2">
        <v>4.4044701814890876</v>
      </c>
      <c r="C899" s="2">
        <v>4.1142542476420001</v>
      </c>
    </row>
    <row r="900" spans="1:3" x14ac:dyDescent="0.3">
      <c r="A900" s="2">
        <v>3.3087810407181482</v>
      </c>
      <c r="B900" s="2">
        <v>3.0042416058090922</v>
      </c>
      <c r="C900" s="2">
        <v>6.1762001227563381</v>
      </c>
    </row>
    <row r="901" spans="1:3" x14ac:dyDescent="0.3">
      <c r="A901" s="2">
        <v>4.5741104568677837</v>
      </c>
      <c r="B901" s="2">
        <v>6.4591518644620924</v>
      </c>
      <c r="C901" s="2">
        <v>4.2695957836843466</v>
      </c>
    </row>
    <row r="902" spans="1:3" x14ac:dyDescent="0.3">
      <c r="A902" s="2">
        <v>5.7340002313538312</v>
      </c>
      <c r="B902" s="2">
        <v>7.5606190284304038</v>
      </c>
      <c r="C902" s="2">
        <v>4.3661637724123263</v>
      </c>
    </row>
    <row r="903" spans="1:3" x14ac:dyDescent="0.3">
      <c r="A903" s="2">
        <v>3.6553506726928711</v>
      </c>
      <c r="B903" s="2">
        <v>5.1773927277389644</v>
      </c>
      <c r="C903" s="2">
        <v>4.2525415171234897</v>
      </c>
    </row>
    <row r="904" spans="1:3" x14ac:dyDescent="0.3">
      <c r="A904" s="2">
        <v>5.521260786388309</v>
      </c>
      <c r="B904" s="2">
        <v>7.9690786854721427</v>
      </c>
      <c r="C904" s="2">
        <v>8.2110039902204957</v>
      </c>
    </row>
    <row r="905" spans="1:3" x14ac:dyDescent="0.3">
      <c r="A905" s="2">
        <v>8.191650671669958</v>
      </c>
      <c r="B905" s="2">
        <v>5.4040029091815294</v>
      </c>
      <c r="C905" s="2">
        <v>5.4544080414790308</v>
      </c>
    </row>
    <row r="906" spans="1:3" x14ac:dyDescent="0.3">
      <c r="A906" s="2">
        <v>7.1223547411796959</v>
      </c>
      <c r="B906" s="2">
        <v>4.3741825010595576</v>
      </c>
      <c r="C906" s="2">
        <v>4.5520316060331432</v>
      </c>
    </row>
    <row r="907" spans="1:3" x14ac:dyDescent="0.3">
      <c r="A907" s="2">
        <v>11.151642531631911</v>
      </c>
      <c r="B907" s="2">
        <v>5.8771972667926926</v>
      </c>
      <c r="C907" s="2">
        <v>9.9673741741030923</v>
      </c>
    </row>
    <row r="908" spans="1:3" x14ac:dyDescent="0.3">
      <c r="A908" s="2">
        <v>10.224357105487741</v>
      </c>
      <c r="B908" s="2">
        <v>3.5335583106873911</v>
      </c>
      <c r="C908" s="2">
        <v>2.119318688836044</v>
      </c>
    </row>
    <row r="909" spans="1:3" x14ac:dyDescent="0.3">
      <c r="A909" s="2">
        <v>6.6469061918399053</v>
      </c>
      <c r="B909" s="2">
        <v>7.9223563340765759</v>
      </c>
      <c r="C909" s="2">
        <v>3.4431199251371929</v>
      </c>
    </row>
    <row r="910" spans="1:3" x14ac:dyDescent="0.3">
      <c r="A910" s="2">
        <v>6.1126988437909304</v>
      </c>
      <c r="B910" s="2">
        <v>7.4720339361658441</v>
      </c>
      <c r="C910" s="2">
        <v>2.6008869401395298</v>
      </c>
    </row>
    <row r="911" spans="1:3" x14ac:dyDescent="0.3">
      <c r="A911" s="2">
        <v>6.8715464591171731</v>
      </c>
      <c r="B911" s="2">
        <v>2.9400434310806078</v>
      </c>
      <c r="C911" s="2">
        <v>3.2577316854822169</v>
      </c>
    </row>
    <row r="912" spans="1:3" x14ac:dyDescent="0.3">
      <c r="A912" s="2">
        <v>8.2441403746337372</v>
      </c>
      <c r="B912" s="2">
        <v>5.4036819850992366</v>
      </c>
      <c r="C912" s="2">
        <v>7.4916271065355797</v>
      </c>
    </row>
    <row r="913" spans="1:3" x14ac:dyDescent="0.3">
      <c r="A913" s="2">
        <v>6.1723673250097004</v>
      </c>
      <c r="B913" s="2">
        <v>4.1168944654091124</v>
      </c>
      <c r="C913" s="2">
        <v>2.760427596592534</v>
      </c>
    </row>
    <row r="914" spans="1:3" x14ac:dyDescent="0.3">
      <c r="A914" s="2">
        <v>8.4955116304420457</v>
      </c>
      <c r="B914" s="2">
        <v>5.2888501624414408</v>
      </c>
      <c r="C914" s="2">
        <v>4.9330582918296351</v>
      </c>
    </row>
    <row r="915" spans="1:3" x14ac:dyDescent="0.3">
      <c r="A915" s="2">
        <v>7.0492560419714092</v>
      </c>
      <c r="B915" s="2">
        <v>6.8992804416699904</v>
      </c>
      <c r="C915" s="2">
        <v>5.8640145481816024</v>
      </c>
    </row>
    <row r="916" spans="1:3" x14ac:dyDescent="0.3">
      <c r="A916" s="2">
        <v>7.9723395177775176</v>
      </c>
      <c r="B916" s="2">
        <v>5.4714579496451634</v>
      </c>
      <c r="C916" s="2">
        <v>6.3204345675439138</v>
      </c>
    </row>
    <row r="917" spans="1:3" x14ac:dyDescent="0.3">
      <c r="A917" s="2">
        <v>7.212857157073123</v>
      </c>
      <c r="B917" s="2">
        <v>11.3478071401611</v>
      </c>
      <c r="C917" s="2">
        <v>3.4839947077323941</v>
      </c>
    </row>
    <row r="918" spans="1:3" x14ac:dyDescent="0.3">
      <c r="A918" s="2">
        <v>6.3489702989960666</v>
      </c>
      <c r="B918" s="2">
        <v>5.5703098040784784</v>
      </c>
      <c r="C918" s="2">
        <v>6.0472936948826597</v>
      </c>
    </row>
    <row r="919" spans="1:3" x14ac:dyDescent="0.3">
      <c r="A919" s="2">
        <v>12.08743930661946</v>
      </c>
      <c r="B919" s="2">
        <v>7.3295708361786112</v>
      </c>
      <c r="C919" s="2">
        <v>3.900795240473415</v>
      </c>
    </row>
    <row r="920" spans="1:3" x14ac:dyDescent="0.3">
      <c r="A920" s="2">
        <v>9.6759519960937723</v>
      </c>
      <c r="B920" s="2">
        <v>5.6353418197805096</v>
      </c>
      <c r="C920" s="2">
        <v>4.8897557289261613</v>
      </c>
    </row>
    <row r="921" spans="1:3" x14ac:dyDescent="0.3">
      <c r="A921" s="2">
        <v>5.1550129703657248</v>
      </c>
      <c r="B921" s="2">
        <v>6.1118899810987299</v>
      </c>
      <c r="C921" s="2">
        <v>2.6110690805021708</v>
      </c>
    </row>
    <row r="922" spans="1:3" x14ac:dyDescent="0.3">
      <c r="A922" s="2">
        <v>10.82538259253605</v>
      </c>
      <c r="B922" s="2">
        <v>5.1697761322248912</v>
      </c>
      <c r="C922" s="2">
        <v>2.1151138796485891</v>
      </c>
    </row>
    <row r="923" spans="1:3" x14ac:dyDescent="0.3">
      <c r="A923" s="2">
        <v>7.5383030048224864</v>
      </c>
      <c r="B923" s="2">
        <v>8.0866740715439374</v>
      </c>
      <c r="C923" s="2">
        <v>5.6096224115680897</v>
      </c>
    </row>
    <row r="924" spans="1:3" x14ac:dyDescent="0.3">
      <c r="A924" s="2">
        <v>11.178465920180679</v>
      </c>
      <c r="B924" s="2">
        <v>6.4859426302931951</v>
      </c>
      <c r="C924" s="2">
        <v>9.8827879455274523</v>
      </c>
    </row>
    <row r="925" spans="1:3" x14ac:dyDescent="0.3">
      <c r="A925" s="2">
        <v>10.03724466968314</v>
      </c>
      <c r="B925" s="2">
        <v>8.2487582485613249</v>
      </c>
      <c r="C925" s="2">
        <v>4.1828854961477191</v>
      </c>
    </row>
    <row r="926" spans="1:3" x14ac:dyDescent="0.3">
      <c r="A926" s="2">
        <v>7.1455677207124761</v>
      </c>
      <c r="B926" s="2">
        <v>4.0030665739497628</v>
      </c>
      <c r="C926" s="2">
        <v>4.810810133718201</v>
      </c>
    </row>
    <row r="927" spans="1:3" x14ac:dyDescent="0.3">
      <c r="A927" s="2">
        <v>3.5632172410119698</v>
      </c>
      <c r="B927" s="2">
        <v>4.8381771273632452</v>
      </c>
      <c r="C927" s="2">
        <v>6.1670889039293462</v>
      </c>
    </row>
    <row r="928" spans="1:3" x14ac:dyDescent="0.3">
      <c r="A928" s="2">
        <v>6.1765687740958466</v>
      </c>
      <c r="B928" s="2">
        <v>6.7194999312434947</v>
      </c>
      <c r="C928" s="2">
        <v>7.1131382365183731</v>
      </c>
    </row>
    <row r="929" spans="1:3" x14ac:dyDescent="0.3">
      <c r="A929" s="2">
        <v>7.9003722574534496</v>
      </c>
      <c r="B929" s="2">
        <v>7.9825863644767656</v>
      </c>
      <c r="C929" s="2">
        <v>7.2198077835420547</v>
      </c>
    </row>
    <row r="930" spans="1:3" x14ac:dyDescent="0.3">
      <c r="A930" s="2">
        <v>8.5667544232962669</v>
      </c>
      <c r="B930" s="2">
        <v>5.505938114225061</v>
      </c>
      <c r="C930" s="2">
        <v>6.0206007232690144</v>
      </c>
    </row>
    <row r="931" spans="1:3" x14ac:dyDescent="0.3">
      <c r="A931" s="2">
        <v>6.1019896521428834</v>
      </c>
      <c r="B931" s="2">
        <v>9.3520012994479149</v>
      </c>
      <c r="C931" s="2">
        <v>4.5317386619457851</v>
      </c>
    </row>
    <row r="932" spans="1:3" x14ac:dyDescent="0.3">
      <c r="A932" s="2">
        <v>5.1478300713232681</v>
      </c>
      <c r="B932" s="2">
        <v>4.1110058021946374</v>
      </c>
      <c r="C932" s="2">
        <v>6.3269560968009824</v>
      </c>
    </row>
    <row r="933" spans="1:3" x14ac:dyDescent="0.3">
      <c r="A933" s="2">
        <v>10.41955821392305</v>
      </c>
      <c r="B933" s="2">
        <v>6.1644252921076834</v>
      </c>
      <c r="C933" s="2">
        <v>5.7211916992024641</v>
      </c>
    </row>
    <row r="934" spans="1:3" x14ac:dyDescent="0.3">
      <c r="A934" s="2">
        <v>13.037907407008181</v>
      </c>
      <c r="B934" s="2">
        <v>8.7172977786899875</v>
      </c>
      <c r="C934" s="2">
        <v>4.7728007352130026</v>
      </c>
    </row>
    <row r="935" spans="1:3" x14ac:dyDescent="0.3">
      <c r="A935" s="2">
        <v>7.7917440737566146</v>
      </c>
      <c r="B935" s="2">
        <v>9.4311735206373655</v>
      </c>
      <c r="C935" s="2">
        <v>6.8164470411914877</v>
      </c>
    </row>
    <row r="936" spans="1:3" x14ac:dyDescent="0.3">
      <c r="A936" s="2">
        <v>5.4389087891644667</v>
      </c>
      <c r="B936" s="2">
        <v>5.8643006238169262</v>
      </c>
      <c r="C936" s="2">
        <v>5.7968565789039674</v>
      </c>
    </row>
    <row r="937" spans="1:3" x14ac:dyDescent="0.3">
      <c r="A937" s="2">
        <v>6.2013216014269084</v>
      </c>
      <c r="B937" s="2">
        <v>3.310467631292497</v>
      </c>
      <c r="C937" s="2">
        <v>3.4304974192966178</v>
      </c>
    </row>
    <row r="938" spans="1:3" x14ac:dyDescent="0.3">
      <c r="A938" s="2">
        <v>3.4618913333132029</v>
      </c>
      <c r="B938" s="2">
        <v>5.6983168042181749</v>
      </c>
      <c r="C938" s="2">
        <v>2.6632652246796291</v>
      </c>
    </row>
    <row r="939" spans="1:3" x14ac:dyDescent="0.3">
      <c r="A939" s="2">
        <v>11.476030593418489</v>
      </c>
      <c r="B939" s="2">
        <v>4.3556914687575539</v>
      </c>
      <c r="C939" s="2">
        <v>1.5592772275699409</v>
      </c>
    </row>
    <row r="940" spans="1:3" x14ac:dyDescent="0.3">
      <c r="A940" s="2">
        <v>4.9339385736297867</v>
      </c>
      <c r="B940" s="2">
        <v>6.0919920438756243</v>
      </c>
      <c r="C940" s="2">
        <v>2.921942190660983</v>
      </c>
    </row>
    <row r="941" spans="1:3" x14ac:dyDescent="0.3">
      <c r="A941" s="2">
        <v>8.1448201058947944</v>
      </c>
      <c r="B941" s="2">
        <v>6.3205301455229552</v>
      </c>
      <c r="C941" s="2">
        <v>4.9644763706541406</v>
      </c>
    </row>
    <row r="942" spans="1:3" x14ac:dyDescent="0.3">
      <c r="A942" s="2">
        <v>6.2131816751639466</v>
      </c>
      <c r="B942" s="2">
        <v>4.9897173206645684</v>
      </c>
      <c r="C942" s="2">
        <v>7.0524267011885513</v>
      </c>
    </row>
    <row r="943" spans="1:3" x14ac:dyDescent="0.3">
      <c r="A943" s="2">
        <v>7.9871690396259281</v>
      </c>
      <c r="B943" s="2">
        <v>7.2247570359913702</v>
      </c>
      <c r="C943" s="2">
        <v>4.655758076312031</v>
      </c>
    </row>
    <row r="944" spans="1:3" x14ac:dyDescent="0.3">
      <c r="A944" s="2">
        <v>8.7063652490818448</v>
      </c>
      <c r="B944" s="2">
        <v>7.3514643849300993</v>
      </c>
      <c r="C944" s="2">
        <v>5.5201094558728796</v>
      </c>
    </row>
    <row r="945" spans="1:3" x14ac:dyDescent="0.3">
      <c r="A945" s="2">
        <v>10.360604912876189</v>
      </c>
      <c r="B945" s="2">
        <v>6.9715489507605071</v>
      </c>
      <c r="C945" s="2">
        <v>6.1630429902610304</v>
      </c>
    </row>
    <row r="946" spans="1:3" x14ac:dyDescent="0.3">
      <c r="A946" s="2">
        <v>5.7225850155233999</v>
      </c>
      <c r="B946" s="2">
        <v>6.8980526685056178</v>
      </c>
      <c r="C946" s="2">
        <v>2.3469316943407592</v>
      </c>
    </row>
    <row r="947" spans="1:3" x14ac:dyDescent="0.3">
      <c r="A947" s="2">
        <v>3.2437742532570968</v>
      </c>
      <c r="B947" s="2">
        <v>5.780892915305647</v>
      </c>
      <c r="C947" s="2">
        <v>3.9922598846406339</v>
      </c>
    </row>
    <row r="948" spans="1:3" x14ac:dyDescent="0.3">
      <c r="A948" s="2">
        <v>5.1242553322345934</v>
      </c>
      <c r="B948" s="2">
        <v>5.6534038582751194</v>
      </c>
      <c r="C948" s="2">
        <v>2.4570826701389632</v>
      </c>
    </row>
    <row r="949" spans="1:3" x14ac:dyDescent="0.3">
      <c r="A949" s="2">
        <v>11.257826315665399</v>
      </c>
      <c r="B949" s="2">
        <v>5.4309492819167282</v>
      </c>
      <c r="C949" s="2">
        <v>4.1927481951043681</v>
      </c>
    </row>
    <row r="950" spans="1:3" x14ac:dyDescent="0.3">
      <c r="A950" s="2">
        <v>10.89566994919735</v>
      </c>
      <c r="B950" s="2">
        <v>6.1400797107878287</v>
      </c>
      <c r="C950" s="2">
        <v>5.4567431941996531</v>
      </c>
    </row>
    <row r="951" spans="1:3" x14ac:dyDescent="0.3">
      <c r="A951" s="2">
        <v>8.2961052165460547</v>
      </c>
      <c r="B951" s="2">
        <v>4.7122482678437176</v>
      </c>
      <c r="C951" s="2">
        <v>5.0647185230122833</v>
      </c>
    </row>
    <row r="952" spans="1:3" x14ac:dyDescent="0.3">
      <c r="A952" s="2">
        <v>8.3189073954192594</v>
      </c>
      <c r="B952" s="2">
        <v>7.4128087178947579</v>
      </c>
      <c r="C952" s="2">
        <v>3.171145988094374</v>
      </c>
    </row>
    <row r="953" spans="1:3" x14ac:dyDescent="0.3">
      <c r="A953" s="2">
        <v>8.8147307664532502</v>
      </c>
      <c r="B953" s="2">
        <v>6.5768121293867843</v>
      </c>
      <c r="C953" s="2">
        <v>6.0456366635146122</v>
      </c>
    </row>
    <row r="954" spans="1:3" x14ac:dyDescent="0.3">
      <c r="A954" s="2">
        <v>5.470341567487778</v>
      </c>
      <c r="B954" s="2">
        <v>5.1865923967859384</v>
      </c>
      <c r="C954" s="2">
        <v>5.4521678305363288</v>
      </c>
    </row>
    <row r="955" spans="1:3" x14ac:dyDescent="0.3">
      <c r="A955" s="2">
        <v>11.477829226184189</v>
      </c>
      <c r="B955" s="2">
        <v>4.2568784188602846</v>
      </c>
      <c r="C955" s="2">
        <v>5.8001499493303346</v>
      </c>
    </row>
    <row r="956" spans="1:3" x14ac:dyDescent="0.3">
      <c r="A956" s="2">
        <v>7.1061401229764689</v>
      </c>
      <c r="B956" s="2">
        <v>3.4808848334731031</v>
      </c>
      <c r="C956" s="2">
        <v>5.2267821522313227</v>
      </c>
    </row>
    <row r="957" spans="1:3" x14ac:dyDescent="0.3">
      <c r="A957" s="2">
        <v>6.8919314299769674</v>
      </c>
      <c r="B957" s="2">
        <v>5.5162547336626444</v>
      </c>
      <c r="C957" s="2">
        <v>3.322239134681086</v>
      </c>
    </row>
    <row r="958" spans="1:3" x14ac:dyDescent="0.3">
      <c r="A958" s="2">
        <v>7.7461557908009642</v>
      </c>
      <c r="B958" s="2">
        <v>5.3622180546443374</v>
      </c>
      <c r="C958" s="2">
        <v>2.3517635379840569</v>
      </c>
    </row>
    <row r="959" spans="1:3" x14ac:dyDescent="0.3">
      <c r="A959" s="2">
        <v>4.0371589990801278</v>
      </c>
      <c r="B959" s="2">
        <v>8.8311083784759372</v>
      </c>
      <c r="C959" s="2">
        <v>5.7162181303715371</v>
      </c>
    </row>
    <row r="960" spans="1:3" x14ac:dyDescent="0.3">
      <c r="A960" s="2">
        <v>5.3923547987960188</v>
      </c>
      <c r="B960" s="2">
        <v>4.5059125342955966</v>
      </c>
      <c r="C960" s="2">
        <v>5.7903626740994261</v>
      </c>
    </row>
    <row r="961" spans="1:3" x14ac:dyDescent="0.3">
      <c r="A961" s="2">
        <v>9.4375374552858844</v>
      </c>
      <c r="B961" s="2">
        <v>4.9248612403784273</v>
      </c>
      <c r="C961" s="2">
        <v>5.06146211718346</v>
      </c>
    </row>
    <row r="962" spans="1:3" x14ac:dyDescent="0.3">
      <c r="A962" s="2">
        <v>4.5409803975817873</v>
      </c>
      <c r="B962" s="2">
        <v>3.144595655562588</v>
      </c>
      <c r="C962" s="2">
        <v>9.3193550316129539</v>
      </c>
    </row>
    <row r="963" spans="1:3" x14ac:dyDescent="0.3">
      <c r="A963" s="2">
        <v>8.3383372356983791</v>
      </c>
      <c r="B963" s="2">
        <v>6.7398783471454307</v>
      </c>
      <c r="C963" s="2">
        <v>3.9368156767781581</v>
      </c>
    </row>
    <row r="964" spans="1:3" x14ac:dyDescent="0.3">
      <c r="A964" s="2">
        <v>6.0133337029191036</v>
      </c>
      <c r="B964" s="2">
        <v>4.9241886041565044</v>
      </c>
      <c r="C964" s="2">
        <v>5.6212486754290598</v>
      </c>
    </row>
    <row r="965" spans="1:3" x14ac:dyDescent="0.3">
      <c r="A965" s="2">
        <v>6.9284949469696659</v>
      </c>
      <c r="B965" s="2">
        <v>6.8151232367465928</v>
      </c>
      <c r="C965" s="2">
        <v>5.135326495205577</v>
      </c>
    </row>
    <row r="966" spans="1:3" x14ac:dyDescent="0.3">
      <c r="A966" s="2">
        <v>6.3110604688109992</v>
      </c>
      <c r="B966" s="2">
        <v>5.8785164146814628</v>
      </c>
      <c r="C966" s="2">
        <v>4.829722398426302</v>
      </c>
    </row>
    <row r="967" spans="1:3" x14ac:dyDescent="0.3">
      <c r="A967" s="2">
        <v>6.730117535642667</v>
      </c>
      <c r="B967" s="2">
        <v>7.3616261829789007</v>
      </c>
      <c r="C967" s="2">
        <v>2.6641977218570019</v>
      </c>
    </row>
    <row r="968" spans="1:3" x14ac:dyDescent="0.3">
      <c r="A968" s="2">
        <v>9.2679613212031651</v>
      </c>
      <c r="B968" s="2">
        <v>8.0574480350471429</v>
      </c>
      <c r="C968" s="2">
        <v>4.3334209246610156</v>
      </c>
    </row>
    <row r="969" spans="1:3" x14ac:dyDescent="0.3">
      <c r="A969" s="2">
        <v>6.3662893726416723</v>
      </c>
      <c r="B969" s="2">
        <v>4.9181185462073778</v>
      </c>
      <c r="C969" s="2">
        <v>6.9232573306129961</v>
      </c>
    </row>
    <row r="970" spans="1:3" x14ac:dyDescent="0.3">
      <c r="A970" s="2">
        <v>8.0729545257853168</v>
      </c>
      <c r="B970" s="2">
        <v>6.5247240175287189</v>
      </c>
      <c r="C970" s="2">
        <v>6.1387429937071616</v>
      </c>
    </row>
    <row r="971" spans="1:3" x14ac:dyDescent="0.3">
      <c r="A971" s="2">
        <v>7.4647527010805357</v>
      </c>
      <c r="B971" s="2">
        <v>5.1058128931604276</v>
      </c>
      <c r="C971" s="2">
        <v>6.6899089223218304</v>
      </c>
    </row>
    <row r="972" spans="1:3" x14ac:dyDescent="0.3">
      <c r="A972" s="2">
        <v>8.8037651549527673</v>
      </c>
      <c r="B972" s="2">
        <v>9.1401217780950823</v>
      </c>
      <c r="C972" s="2">
        <v>3.622163086106641</v>
      </c>
    </row>
    <row r="973" spans="1:3" x14ac:dyDescent="0.3">
      <c r="A973" s="2">
        <v>11.86135056725843</v>
      </c>
      <c r="B973" s="2">
        <v>2.95920548969216</v>
      </c>
      <c r="C973" s="2">
        <v>6.8430715444124646</v>
      </c>
    </row>
    <row r="974" spans="1:3" x14ac:dyDescent="0.3">
      <c r="A974" s="2">
        <v>9.3881492309573318</v>
      </c>
      <c r="B974" s="2">
        <v>5.3060203859718778</v>
      </c>
      <c r="C974" s="2">
        <v>2.6010684861449112</v>
      </c>
    </row>
    <row r="975" spans="1:3" x14ac:dyDescent="0.3">
      <c r="A975" s="2">
        <v>5.7884115385548949</v>
      </c>
      <c r="B975" s="2">
        <v>7.6514698903679399</v>
      </c>
      <c r="C975" s="2">
        <v>4.4885031629986116</v>
      </c>
    </row>
    <row r="976" spans="1:3" x14ac:dyDescent="0.3">
      <c r="A976" s="2">
        <v>3.75252685597285</v>
      </c>
      <c r="B976" s="2">
        <v>6.2193302519401774</v>
      </c>
      <c r="C976" s="2">
        <v>2.7609250284093991</v>
      </c>
    </row>
    <row r="977" spans="1:3" x14ac:dyDescent="0.3">
      <c r="A977" s="2">
        <v>6.1324239935233607</v>
      </c>
      <c r="B977" s="2">
        <v>5.1720637353210037</v>
      </c>
      <c r="C977" s="2">
        <v>8.6250420603969378</v>
      </c>
    </row>
    <row r="978" spans="1:3" x14ac:dyDescent="0.3">
      <c r="A978" s="2">
        <v>8.2790074514510703</v>
      </c>
      <c r="B978" s="2">
        <v>4.5088765986697101</v>
      </c>
      <c r="C978" s="2">
        <v>5.2388653918916326</v>
      </c>
    </row>
    <row r="979" spans="1:3" x14ac:dyDescent="0.3">
      <c r="A979" s="2">
        <v>4.108487698551853</v>
      </c>
      <c r="B979" s="2">
        <v>6.5850028432635286</v>
      </c>
      <c r="C979" s="2">
        <v>6.8874442793018256</v>
      </c>
    </row>
    <row r="980" spans="1:3" x14ac:dyDescent="0.3">
      <c r="A980" s="2">
        <v>7.5966212953279024</v>
      </c>
      <c r="B980" s="2">
        <v>4.6701239960875576</v>
      </c>
      <c r="C980" s="2">
        <v>5.7438791735048342</v>
      </c>
    </row>
    <row r="981" spans="1:3" x14ac:dyDescent="0.3">
      <c r="A981" s="2">
        <v>8.2919253440079359</v>
      </c>
      <c r="B981" s="2">
        <v>4.5281893531192834</v>
      </c>
      <c r="C981" s="2">
        <v>6.0202876134856602</v>
      </c>
    </row>
    <row r="982" spans="1:3" x14ac:dyDescent="0.3">
      <c r="A982" s="2">
        <v>6.6007084932973843</v>
      </c>
      <c r="B982" s="2">
        <v>6.1662966593538098</v>
      </c>
      <c r="C982" s="2">
        <v>2.7065589098992708</v>
      </c>
    </row>
    <row r="983" spans="1:3" x14ac:dyDescent="0.3">
      <c r="A983" s="2">
        <v>9.7464147701333097</v>
      </c>
      <c r="B983" s="2">
        <v>8.6159300465049391</v>
      </c>
      <c r="C983" s="2">
        <v>4.7662881045193846</v>
      </c>
    </row>
    <row r="984" spans="1:3" x14ac:dyDescent="0.3">
      <c r="A984" s="2">
        <v>4.8158061480098153</v>
      </c>
      <c r="B984" s="2">
        <v>5.229953601786967</v>
      </c>
      <c r="C984" s="2">
        <v>2.6292855664474999</v>
      </c>
    </row>
    <row r="985" spans="1:3" x14ac:dyDescent="0.3">
      <c r="A985" s="2">
        <v>4.4442689626511394</v>
      </c>
      <c r="B985" s="2">
        <v>7.2485895640863509</v>
      </c>
      <c r="C985" s="2">
        <v>3.9188252307686788</v>
      </c>
    </row>
    <row r="986" spans="1:3" x14ac:dyDescent="0.3">
      <c r="A986" s="2">
        <v>9.3488746163501375</v>
      </c>
      <c r="B986" s="2">
        <v>5.3424122506241467</v>
      </c>
      <c r="C986" s="2">
        <v>4.9509696740649387</v>
      </c>
    </row>
    <row r="987" spans="1:3" x14ac:dyDescent="0.3">
      <c r="A987" s="2">
        <v>7.5908879686551431</v>
      </c>
      <c r="B987" s="2">
        <v>8.1337762263409381</v>
      </c>
      <c r="C987" s="2">
        <v>2.9296624287721258</v>
      </c>
    </row>
    <row r="988" spans="1:3" x14ac:dyDescent="0.3">
      <c r="A988" s="2">
        <v>9.0059533581910713</v>
      </c>
      <c r="B988" s="2">
        <v>3.9632864186214309</v>
      </c>
      <c r="C988" s="2">
        <v>2.169511438962906</v>
      </c>
    </row>
    <row r="989" spans="1:3" x14ac:dyDescent="0.3">
      <c r="A989" s="2">
        <v>7.2048124382767504</v>
      </c>
      <c r="B989" s="2">
        <v>7.6628069041012798</v>
      </c>
      <c r="C989" s="2">
        <v>2.328230545154486</v>
      </c>
    </row>
    <row r="990" spans="1:3" x14ac:dyDescent="0.3">
      <c r="A990" s="2">
        <v>6.0208644240100266</v>
      </c>
      <c r="B990" s="2">
        <v>5.6273656591560579</v>
      </c>
      <c r="C990" s="2">
        <v>6.1929157052107229</v>
      </c>
    </row>
    <row r="991" spans="1:3" x14ac:dyDescent="0.3">
      <c r="A991" s="2">
        <v>10.242460191511929</v>
      </c>
      <c r="B991" s="2">
        <v>5.0626690917897923</v>
      </c>
      <c r="C991" s="2">
        <v>4.1982632153519788</v>
      </c>
    </row>
    <row r="992" spans="1:3" x14ac:dyDescent="0.3">
      <c r="A992" s="2">
        <v>10.032677934348509</v>
      </c>
      <c r="B992" s="2">
        <v>3.9150390041607119</v>
      </c>
      <c r="C992" s="2">
        <v>2.1529639151045288</v>
      </c>
    </row>
    <row r="993" spans="1:3" x14ac:dyDescent="0.3">
      <c r="A993" s="2">
        <v>9.0586792014674167</v>
      </c>
      <c r="B993" s="2">
        <v>4.4990851123401976</v>
      </c>
      <c r="C993" s="2">
        <v>4.7294324360333073</v>
      </c>
    </row>
    <row r="994" spans="1:3" x14ac:dyDescent="0.3">
      <c r="A994" s="2">
        <v>6.2002191629739212</v>
      </c>
      <c r="B994" s="2">
        <v>4.9500456158427966</v>
      </c>
      <c r="C994" s="2">
        <v>6.3491996109521516</v>
      </c>
    </row>
    <row r="995" spans="1:3" x14ac:dyDescent="0.3">
      <c r="A995" s="2">
        <v>8.2436732072128187</v>
      </c>
      <c r="B995" s="2">
        <v>6.0831180953923196</v>
      </c>
      <c r="C995" s="2">
        <v>4.5901040150380634</v>
      </c>
    </row>
    <row r="996" spans="1:3" x14ac:dyDescent="0.3">
      <c r="A996" s="2">
        <v>6.7615251677131676</v>
      </c>
      <c r="B996" s="2">
        <v>6.3562608063688897</v>
      </c>
      <c r="C996" s="2">
        <v>1.837831754164587</v>
      </c>
    </row>
    <row r="997" spans="1:3" x14ac:dyDescent="0.3">
      <c r="A997" s="2">
        <v>4.646507421152549</v>
      </c>
      <c r="B997" s="2">
        <v>8.5415745495621636</v>
      </c>
      <c r="C997" s="2">
        <v>4.4452386982249292</v>
      </c>
    </row>
    <row r="998" spans="1:3" x14ac:dyDescent="0.3">
      <c r="A998" s="2">
        <v>11.524370983024919</v>
      </c>
      <c r="B998" s="2">
        <v>6.5092586807267656</v>
      </c>
      <c r="C998" s="2">
        <v>3.1198617777328641</v>
      </c>
    </row>
    <row r="999" spans="1:3" x14ac:dyDescent="0.3">
      <c r="A999" s="2">
        <v>5.1236130281603938</v>
      </c>
      <c r="B999" s="2">
        <v>6.8643908593340104</v>
      </c>
      <c r="C999" s="2">
        <v>5.3261341454048612</v>
      </c>
    </row>
    <row r="1000" spans="1:3" x14ac:dyDescent="0.3">
      <c r="A1000" s="2">
        <v>12.12431941132675</v>
      </c>
      <c r="B1000" s="2">
        <v>4.6753101176163732</v>
      </c>
      <c r="C1000" s="2">
        <v>4.0187881204266276</v>
      </c>
    </row>
    <row r="1001" spans="1:3" x14ac:dyDescent="0.3">
      <c r="A1001" s="2">
        <v>7.2743361201037056</v>
      </c>
      <c r="B1001" s="2">
        <v>11.790499281267881</v>
      </c>
      <c r="C1001" s="2">
        <v>5.2440213735833421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selection activeCell="K5" sqref="K5"/>
    </sheetView>
  </sheetViews>
  <sheetFormatPr defaultRowHeight="14.4" x14ac:dyDescent="0.3"/>
  <cols>
    <col min="4" max="4" width="11.109375" customWidth="1"/>
    <col min="5" max="5" width="13.21875" customWidth="1"/>
    <col min="6" max="6" width="13.88671875" customWidth="1"/>
    <col min="7" max="7" width="11.88671875" customWidth="1"/>
  </cols>
  <sheetData>
    <row r="1" spans="1:7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">
      <c r="A2" s="2">
        <v>1</v>
      </c>
      <c r="B2" s="2">
        <v>9</v>
      </c>
      <c r="C2" s="2">
        <v>0.61203931847315962</v>
      </c>
      <c r="D2" s="2">
        <v>0</v>
      </c>
      <c r="E2" s="2" t="s">
        <v>39</v>
      </c>
      <c r="F2" s="2">
        <v>0</v>
      </c>
      <c r="G2" s="2" t="s">
        <v>39</v>
      </c>
    </row>
    <row r="3" spans="1:7" x14ac:dyDescent="0.3">
      <c r="A3" s="2">
        <v>9</v>
      </c>
      <c r="B3" s="2">
        <v>8</v>
      </c>
      <c r="C3" s="2">
        <v>0.78743129379457455</v>
      </c>
      <c r="D3" s="2">
        <v>2</v>
      </c>
      <c r="E3" s="2" t="s">
        <v>23</v>
      </c>
      <c r="F3" s="2">
        <v>2</v>
      </c>
      <c r="G3" s="2" t="s">
        <v>23</v>
      </c>
    </row>
    <row r="4" spans="1:7" x14ac:dyDescent="0.3">
      <c r="A4" s="2">
        <v>5</v>
      </c>
      <c r="B4" s="2">
        <v>2</v>
      </c>
      <c r="C4" s="2">
        <v>0.58476186178310452</v>
      </c>
      <c r="D4" s="2">
        <v>0</v>
      </c>
      <c r="E4" s="2" t="s">
        <v>39</v>
      </c>
      <c r="F4" s="2">
        <v>0</v>
      </c>
      <c r="G4" s="2" t="s">
        <v>39</v>
      </c>
    </row>
    <row r="5" spans="1:7" x14ac:dyDescent="0.3">
      <c r="A5" s="2">
        <v>9</v>
      </c>
      <c r="B5" s="2">
        <v>6</v>
      </c>
      <c r="C5" s="2">
        <v>0.89111507566188908</v>
      </c>
      <c r="D5" s="2">
        <v>2</v>
      </c>
      <c r="E5" s="2" t="s">
        <v>23</v>
      </c>
      <c r="F5" s="2">
        <v>2</v>
      </c>
      <c r="G5" s="2" t="s">
        <v>23</v>
      </c>
    </row>
    <row r="6" spans="1:7" x14ac:dyDescent="0.3">
      <c r="A6" s="2">
        <v>9</v>
      </c>
      <c r="B6" s="2">
        <v>8</v>
      </c>
      <c r="C6" s="2">
        <v>0.92848781305588002</v>
      </c>
      <c r="D6" s="2">
        <v>2</v>
      </c>
      <c r="E6" s="2" t="s">
        <v>23</v>
      </c>
      <c r="F6" s="2">
        <v>2</v>
      </c>
      <c r="G6" s="2" t="s">
        <v>23</v>
      </c>
    </row>
    <row r="7" spans="1:7" x14ac:dyDescent="0.3">
      <c r="A7" s="2">
        <v>7</v>
      </c>
      <c r="B7" s="2">
        <v>4</v>
      </c>
      <c r="C7" s="2">
        <v>0.5168371022514241</v>
      </c>
      <c r="D7" s="2">
        <v>1</v>
      </c>
      <c r="E7" s="2" t="s">
        <v>40</v>
      </c>
      <c r="F7" s="2">
        <v>1</v>
      </c>
      <c r="G7" s="2" t="s">
        <v>40</v>
      </c>
    </row>
    <row r="8" spans="1:7" x14ac:dyDescent="0.3">
      <c r="A8" s="2">
        <v>7</v>
      </c>
      <c r="B8" s="2">
        <v>9</v>
      </c>
      <c r="C8" s="2">
        <v>0.76632240247183681</v>
      </c>
      <c r="D8" s="2">
        <v>2</v>
      </c>
      <c r="E8" s="2" t="s">
        <v>23</v>
      </c>
      <c r="F8" s="2">
        <v>2</v>
      </c>
      <c r="G8" s="2" t="s">
        <v>23</v>
      </c>
    </row>
    <row r="9" spans="1:7" x14ac:dyDescent="0.3">
      <c r="A9" s="2">
        <v>1</v>
      </c>
      <c r="B9" s="2">
        <v>9</v>
      </c>
      <c r="C9" s="2">
        <v>0.89847567872178224</v>
      </c>
      <c r="D9" s="2">
        <v>0</v>
      </c>
      <c r="E9" s="2" t="s">
        <v>39</v>
      </c>
      <c r="F9" s="2">
        <v>0</v>
      </c>
      <c r="G9" s="2" t="s">
        <v>39</v>
      </c>
    </row>
    <row r="10" spans="1:7" x14ac:dyDescent="0.3">
      <c r="A10" s="2">
        <v>5</v>
      </c>
      <c r="B10" s="2">
        <v>9</v>
      </c>
      <c r="C10" s="2">
        <v>0.98756984057855779</v>
      </c>
      <c r="D10" s="2">
        <v>1</v>
      </c>
      <c r="E10" s="2" t="s">
        <v>40</v>
      </c>
      <c r="F10" s="2">
        <v>1</v>
      </c>
      <c r="G10" s="2" t="s">
        <v>40</v>
      </c>
    </row>
    <row r="11" spans="1:7" x14ac:dyDescent="0.3">
      <c r="A11" s="2">
        <v>7</v>
      </c>
      <c r="B11" s="2">
        <v>6</v>
      </c>
      <c r="C11" s="2">
        <v>0.63712929659721063</v>
      </c>
      <c r="D11" s="2">
        <v>1</v>
      </c>
      <c r="E11" s="2" t="s">
        <v>40</v>
      </c>
      <c r="F11" s="2">
        <v>2</v>
      </c>
      <c r="G11" s="2" t="s">
        <v>23</v>
      </c>
    </row>
    <row r="12" spans="1:7" x14ac:dyDescent="0.3">
      <c r="A12" s="2">
        <v>7</v>
      </c>
      <c r="B12" s="2">
        <v>9</v>
      </c>
      <c r="C12" s="2">
        <v>0.58455053168269167</v>
      </c>
      <c r="D12" s="2">
        <v>2</v>
      </c>
      <c r="E12" s="2" t="s">
        <v>23</v>
      </c>
      <c r="F12" s="2">
        <v>2</v>
      </c>
      <c r="G12" s="2" t="s">
        <v>23</v>
      </c>
    </row>
    <row r="13" spans="1:7" x14ac:dyDescent="0.3">
      <c r="A13" s="2">
        <v>9</v>
      </c>
      <c r="B13" s="2">
        <v>2</v>
      </c>
      <c r="C13" s="2">
        <v>0.93835046509081765</v>
      </c>
      <c r="D13" s="2">
        <v>0</v>
      </c>
      <c r="E13" s="2" t="s">
        <v>39</v>
      </c>
      <c r="F13" s="2">
        <v>0</v>
      </c>
      <c r="G13" s="2" t="s">
        <v>39</v>
      </c>
    </row>
    <row r="14" spans="1:7" x14ac:dyDescent="0.3">
      <c r="A14" s="2">
        <v>5</v>
      </c>
      <c r="B14" s="2">
        <v>6</v>
      </c>
      <c r="C14" s="2">
        <v>0.95459123188042438</v>
      </c>
      <c r="D14" s="2">
        <v>1</v>
      </c>
      <c r="E14" s="2" t="s">
        <v>40</v>
      </c>
      <c r="F14" s="2">
        <v>1</v>
      </c>
      <c r="G14" s="2" t="s">
        <v>40</v>
      </c>
    </row>
    <row r="15" spans="1:7" x14ac:dyDescent="0.3">
      <c r="A15" s="2">
        <v>1</v>
      </c>
      <c r="B15" s="2">
        <v>6</v>
      </c>
      <c r="C15" s="2">
        <v>0.59876644473357843</v>
      </c>
      <c r="D15" s="2">
        <v>0</v>
      </c>
      <c r="E15" s="2" t="s">
        <v>39</v>
      </c>
      <c r="F15" s="2">
        <v>0</v>
      </c>
      <c r="G15" s="2" t="s">
        <v>39</v>
      </c>
    </row>
    <row r="16" spans="1:7" x14ac:dyDescent="0.3">
      <c r="A16" s="2">
        <v>5</v>
      </c>
      <c r="B16" s="2">
        <v>8</v>
      </c>
      <c r="C16" s="2">
        <v>0.72076487135131995</v>
      </c>
      <c r="D16" s="2">
        <v>1</v>
      </c>
      <c r="E16" s="2" t="s">
        <v>40</v>
      </c>
      <c r="F16" s="2">
        <v>1</v>
      </c>
      <c r="G16" s="2" t="s">
        <v>40</v>
      </c>
    </row>
    <row r="17" spans="1:7" x14ac:dyDescent="0.3">
      <c r="A17" s="2">
        <v>9</v>
      </c>
      <c r="B17" s="2">
        <v>6</v>
      </c>
      <c r="C17" s="2">
        <v>0.8596160708461682</v>
      </c>
      <c r="D17" s="2">
        <v>2</v>
      </c>
      <c r="E17" s="2" t="s">
        <v>23</v>
      </c>
      <c r="F17" s="2">
        <v>2</v>
      </c>
      <c r="G17" s="2" t="s">
        <v>23</v>
      </c>
    </row>
    <row r="18" spans="1:7" x14ac:dyDescent="0.3">
      <c r="A18" s="2">
        <v>5</v>
      </c>
      <c r="B18" s="2">
        <v>2</v>
      </c>
      <c r="C18" s="2">
        <v>0.92267257938198677</v>
      </c>
      <c r="D18" s="2">
        <v>0</v>
      </c>
      <c r="E18" s="2" t="s">
        <v>39</v>
      </c>
      <c r="F18" s="2">
        <v>0</v>
      </c>
      <c r="G18" s="2" t="s">
        <v>39</v>
      </c>
    </row>
    <row r="19" spans="1:7" x14ac:dyDescent="0.3">
      <c r="A19" s="2">
        <v>7</v>
      </c>
      <c r="B19" s="2">
        <v>6</v>
      </c>
      <c r="C19" s="2">
        <v>0.58413765268362217</v>
      </c>
      <c r="D19" s="2">
        <v>1</v>
      </c>
      <c r="E19" s="2" t="s">
        <v>40</v>
      </c>
      <c r="F19" s="2">
        <v>2</v>
      </c>
      <c r="G19" s="2" t="s">
        <v>23</v>
      </c>
    </row>
    <row r="20" spans="1:7" x14ac:dyDescent="0.3">
      <c r="A20" s="2">
        <v>9</v>
      </c>
      <c r="B20" s="2">
        <v>6</v>
      </c>
      <c r="C20" s="2">
        <v>0.83248448145238052</v>
      </c>
      <c r="D20" s="2">
        <v>2</v>
      </c>
      <c r="E20" s="2" t="s">
        <v>23</v>
      </c>
      <c r="F20" s="2">
        <v>2</v>
      </c>
      <c r="G20" s="2" t="s">
        <v>23</v>
      </c>
    </row>
    <row r="21" spans="1:7" x14ac:dyDescent="0.3">
      <c r="A21" s="2">
        <v>1</v>
      </c>
      <c r="B21" s="2">
        <v>6</v>
      </c>
      <c r="C21" s="2">
        <v>0.90391772964803474</v>
      </c>
      <c r="D21" s="2">
        <v>0</v>
      </c>
      <c r="E21" s="2" t="s">
        <v>39</v>
      </c>
      <c r="F21" s="2">
        <v>0</v>
      </c>
      <c r="G21" s="2" t="s">
        <v>39</v>
      </c>
    </row>
    <row r="22" spans="1:7" x14ac:dyDescent="0.3">
      <c r="A22" s="2">
        <v>7</v>
      </c>
      <c r="B22" s="2">
        <v>4</v>
      </c>
      <c r="C22" s="2">
        <v>0.77485706040036373</v>
      </c>
      <c r="D22" s="2">
        <v>1</v>
      </c>
      <c r="E22" s="2" t="s">
        <v>40</v>
      </c>
      <c r="F22" s="2">
        <v>1</v>
      </c>
      <c r="G22" s="2" t="s">
        <v>40</v>
      </c>
    </row>
    <row r="23" spans="1:7" x14ac:dyDescent="0.3">
      <c r="A23" s="2">
        <v>9</v>
      </c>
      <c r="B23" s="2">
        <v>6</v>
      </c>
      <c r="C23" s="2">
        <v>0.58235832938950649</v>
      </c>
      <c r="D23" s="2">
        <v>2</v>
      </c>
      <c r="E23" s="2" t="s">
        <v>23</v>
      </c>
      <c r="F23" s="2">
        <v>2</v>
      </c>
      <c r="G23" s="2" t="s">
        <v>23</v>
      </c>
    </row>
    <row r="24" spans="1:7" x14ac:dyDescent="0.3">
      <c r="A24" s="2">
        <v>5</v>
      </c>
      <c r="B24" s="2">
        <v>6</v>
      </c>
      <c r="C24" s="2">
        <v>0.51776440241518173</v>
      </c>
      <c r="D24" s="2">
        <v>1</v>
      </c>
      <c r="E24" s="2" t="s">
        <v>40</v>
      </c>
      <c r="F24" s="2">
        <v>1</v>
      </c>
      <c r="G24" s="2" t="s">
        <v>40</v>
      </c>
    </row>
    <row r="25" spans="1:7" x14ac:dyDescent="0.3">
      <c r="A25" s="2">
        <v>7</v>
      </c>
      <c r="B25" s="2">
        <v>8</v>
      </c>
      <c r="C25" s="2">
        <v>0.64076690892424693</v>
      </c>
      <c r="D25" s="2">
        <v>2</v>
      </c>
      <c r="E25" s="2" t="s">
        <v>23</v>
      </c>
      <c r="F25" s="2">
        <v>2</v>
      </c>
      <c r="G25" s="2" t="s">
        <v>23</v>
      </c>
    </row>
    <row r="26" spans="1:7" x14ac:dyDescent="0.3">
      <c r="A26" s="2">
        <v>9</v>
      </c>
      <c r="B26" s="2">
        <v>8</v>
      </c>
      <c r="C26" s="2">
        <v>0.90393542322677578</v>
      </c>
      <c r="D26" s="2">
        <v>2</v>
      </c>
      <c r="E26" s="2" t="s">
        <v>23</v>
      </c>
      <c r="F26" s="2">
        <v>2</v>
      </c>
      <c r="G26" s="2" t="s">
        <v>23</v>
      </c>
    </row>
    <row r="27" spans="1:7" x14ac:dyDescent="0.3">
      <c r="A27" s="2">
        <v>3</v>
      </c>
      <c r="B27" s="2">
        <v>6</v>
      </c>
      <c r="C27" s="2">
        <v>0.52238313042256945</v>
      </c>
      <c r="D27" s="2">
        <v>0</v>
      </c>
      <c r="E27" s="2" t="s">
        <v>39</v>
      </c>
      <c r="F27" s="2">
        <v>0</v>
      </c>
      <c r="G27" s="2" t="s">
        <v>39</v>
      </c>
    </row>
    <row r="28" spans="1:7" x14ac:dyDescent="0.3">
      <c r="A28" s="2">
        <v>7</v>
      </c>
      <c r="B28" s="2">
        <v>6</v>
      </c>
      <c r="C28" s="2">
        <v>0.50410825251965607</v>
      </c>
      <c r="D28" s="2">
        <v>1</v>
      </c>
      <c r="E28" s="2" t="s">
        <v>40</v>
      </c>
      <c r="F28" s="2">
        <v>1</v>
      </c>
      <c r="G28" s="2" t="s">
        <v>40</v>
      </c>
    </row>
    <row r="29" spans="1:7" x14ac:dyDescent="0.3">
      <c r="A29" s="2">
        <v>9</v>
      </c>
      <c r="B29" s="2">
        <v>8</v>
      </c>
      <c r="C29" s="2">
        <v>0.68080832385602863</v>
      </c>
      <c r="D29" s="2">
        <v>2</v>
      </c>
      <c r="E29" s="2" t="s">
        <v>23</v>
      </c>
      <c r="F29" s="2">
        <v>2</v>
      </c>
      <c r="G29" s="2" t="s">
        <v>23</v>
      </c>
    </row>
    <row r="30" spans="1:7" x14ac:dyDescent="0.3">
      <c r="A30" s="2">
        <v>7</v>
      </c>
      <c r="B30" s="2">
        <v>9</v>
      </c>
      <c r="C30" s="2">
        <v>0.531811142849276</v>
      </c>
      <c r="D30" s="2">
        <v>2</v>
      </c>
      <c r="E30" s="2" t="s">
        <v>23</v>
      </c>
      <c r="F30" s="2">
        <v>2</v>
      </c>
      <c r="G30" s="2" t="s">
        <v>23</v>
      </c>
    </row>
    <row r="31" spans="1:7" x14ac:dyDescent="0.3">
      <c r="A31" s="2">
        <v>7</v>
      </c>
      <c r="B31" s="2">
        <v>8</v>
      </c>
      <c r="C31" s="2">
        <v>0.5747431516621152</v>
      </c>
      <c r="D31" s="2">
        <v>2</v>
      </c>
      <c r="E31" s="2" t="s">
        <v>23</v>
      </c>
      <c r="F31" s="2">
        <v>2</v>
      </c>
      <c r="G31" s="2" t="s">
        <v>23</v>
      </c>
    </row>
    <row r="32" spans="1:7" x14ac:dyDescent="0.3">
      <c r="A32" s="2">
        <v>5</v>
      </c>
      <c r="B32" s="2">
        <v>9</v>
      </c>
      <c r="C32" s="2">
        <v>0.51159518404968107</v>
      </c>
      <c r="D32" s="2">
        <v>1</v>
      </c>
      <c r="E32" s="2" t="s">
        <v>40</v>
      </c>
      <c r="F32" s="2">
        <v>1</v>
      </c>
      <c r="G32" s="2" t="s">
        <v>40</v>
      </c>
    </row>
    <row r="33" spans="1:7" x14ac:dyDescent="0.3">
      <c r="A33" s="2">
        <v>7</v>
      </c>
      <c r="B33" s="2">
        <v>9</v>
      </c>
      <c r="C33" s="2">
        <v>0.76235991838431594</v>
      </c>
      <c r="D33" s="2">
        <v>2</v>
      </c>
      <c r="E33" s="2" t="s">
        <v>23</v>
      </c>
      <c r="F33" s="2">
        <v>2</v>
      </c>
      <c r="G33" s="2" t="s">
        <v>23</v>
      </c>
    </row>
    <row r="34" spans="1:7" x14ac:dyDescent="0.3">
      <c r="A34" s="2">
        <v>5</v>
      </c>
      <c r="B34" s="2">
        <v>1</v>
      </c>
      <c r="C34" s="2">
        <v>0.84834795109470651</v>
      </c>
      <c r="D34" s="2">
        <v>0</v>
      </c>
      <c r="E34" s="2" t="s">
        <v>39</v>
      </c>
      <c r="F34" s="2">
        <v>0</v>
      </c>
      <c r="G34" s="2" t="s">
        <v>39</v>
      </c>
    </row>
    <row r="35" spans="1:7" x14ac:dyDescent="0.3">
      <c r="A35" s="2">
        <v>7</v>
      </c>
      <c r="B35" s="2">
        <v>9</v>
      </c>
      <c r="C35" s="2">
        <v>0.71352674650686376</v>
      </c>
      <c r="D35" s="2">
        <v>2</v>
      </c>
      <c r="E35" s="2" t="s">
        <v>23</v>
      </c>
      <c r="F35" s="2">
        <v>2</v>
      </c>
      <c r="G35" s="2" t="s">
        <v>23</v>
      </c>
    </row>
    <row r="36" spans="1:7" x14ac:dyDescent="0.3">
      <c r="A36" s="2">
        <v>5</v>
      </c>
      <c r="B36" s="2">
        <v>4</v>
      </c>
      <c r="C36" s="2">
        <v>0.56728522932234382</v>
      </c>
      <c r="D36" s="2">
        <v>1</v>
      </c>
      <c r="E36" s="2" t="s">
        <v>40</v>
      </c>
      <c r="F36" s="2">
        <v>0</v>
      </c>
      <c r="G36" s="2" t="s">
        <v>39</v>
      </c>
    </row>
    <row r="37" spans="1:7" x14ac:dyDescent="0.3">
      <c r="A37" s="2">
        <v>9</v>
      </c>
      <c r="B37" s="2">
        <v>6</v>
      </c>
      <c r="C37" s="2">
        <v>0.66567860548120283</v>
      </c>
      <c r="D37" s="2">
        <v>2</v>
      </c>
      <c r="E37" s="2" t="s">
        <v>23</v>
      </c>
      <c r="F37" s="2">
        <v>2</v>
      </c>
      <c r="G37" s="2" t="s">
        <v>23</v>
      </c>
    </row>
    <row r="38" spans="1:7" x14ac:dyDescent="0.3">
      <c r="A38" s="2">
        <v>9</v>
      </c>
      <c r="B38" s="2">
        <v>8</v>
      </c>
      <c r="C38" s="2">
        <v>0.79517292715316756</v>
      </c>
      <c r="D38" s="2">
        <v>2</v>
      </c>
      <c r="E38" s="2" t="s">
        <v>23</v>
      </c>
      <c r="F38" s="2">
        <v>2</v>
      </c>
      <c r="G38" s="2" t="s">
        <v>23</v>
      </c>
    </row>
    <row r="39" spans="1:7" x14ac:dyDescent="0.3">
      <c r="A39" s="2">
        <v>5</v>
      </c>
      <c r="B39" s="2">
        <v>8</v>
      </c>
      <c r="C39" s="2">
        <v>0.97033069669819405</v>
      </c>
      <c r="D39" s="2">
        <v>1</v>
      </c>
      <c r="E39" s="2" t="s">
        <v>40</v>
      </c>
      <c r="F39" s="2">
        <v>1</v>
      </c>
      <c r="G39" s="2" t="s">
        <v>40</v>
      </c>
    </row>
    <row r="40" spans="1:7" x14ac:dyDescent="0.3">
      <c r="A40" s="2">
        <v>7</v>
      </c>
      <c r="B40" s="2">
        <v>2</v>
      </c>
      <c r="C40" s="2">
        <v>0.99627885958632012</v>
      </c>
      <c r="D40" s="2">
        <v>0</v>
      </c>
      <c r="E40" s="2" t="s">
        <v>39</v>
      </c>
      <c r="F40" s="2">
        <v>0</v>
      </c>
      <c r="G40" s="2" t="s">
        <v>39</v>
      </c>
    </row>
    <row r="41" spans="1:7" x14ac:dyDescent="0.3">
      <c r="A41" s="2">
        <v>5</v>
      </c>
      <c r="B41" s="2">
        <v>8</v>
      </c>
      <c r="C41" s="2">
        <v>0.6208014583269249</v>
      </c>
      <c r="D41" s="2">
        <v>1</v>
      </c>
      <c r="E41" s="2" t="s">
        <v>40</v>
      </c>
      <c r="F41" s="2">
        <v>1</v>
      </c>
      <c r="G41" s="2" t="s">
        <v>40</v>
      </c>
    </row>
    <row r="42" spans="1:7" x14ac:dyDescent="0.3">
      <c r="A42" s="2">
        <v>7</v>
      </c>
      <c r="B42" s="2">
        <v>2</v>
      </c>
      <c r="C42" s="2">
        <v>0.50528995346917283</v>
      </c>
      <c r="D42" s="2">
        <v>0</v>
      </c>
      <c r="E42" s="2" t="s">
        <v>39</v>
      </c>
      <c r="F42" s="2">
        <v>0</v>
      </c>
      <c r="G42" s="2" t="s">
        <v>39</v>
      </c>
    </row>
    <row r="43" spans="1:7" x14ac:dyDescent="0.3">
      <c r="A43" s="2">
        <v>5</v>
      </c>
      <c r="B43" s="2">
        <v>6</v>
      </c>
      <c r="C43" s="2">
        <v>0.91532016299690233</v>
      </c>
      <c r="D43" s="2">
        <v>1</v>
      </c>
      <c r="E43" s="2" t="s">
        <v>40</v>
      </c>
      <c r="F43" s="2">
        <v>1</v>
      </c>
      <c r="G43" s="2" t="s">
        <v>40</v>
      </c>
    </row>
    <row r="44" spans="1:7" x14ac:dyDescent="0.3">
      <c r="A44" s="2">
        <v>7</v>
      </c>
      <c r="B44" s="2">
        <v>9</v>
      </c>
      <c r="C44" s="2">
        <v>0.96330646888502836</v>
      </c>
      <c r="D44" s="2">
        <v>2</v>
      </c>
      <c r="E44" s="2" t="s">
        <v>23</v>
      </c>
      <c r="F44" s="2">
        <v>2</v>
      </c>
      <c r="G44" s="2" t="s">
        <v>23</v>
      </c>
    </row>
    <row r="45" spans="1:7" x14ac:dyDescent="0.3">
      <c r="A45" s="2">
        <v>5</v>
      </c>
      <c r="B45" s="2">
        <v>6</v>
      </c>
      <c r="C45" s="2">
        <v>0.72930173988398472</v>
      </c>
      <c r="D45" s="2">
        <v>1</v>
      </c>
      <c r="E45" s="2" t="s">
        <v>40</v>
      </c>
      <c r="F45" s="2">
        <v>1</v>
      </c>
      <c r="G45" s="2" t="s">
        <v>40</v>
      </c>
    </row>
    <row r="46" spans="1:7" x14ac:dyDescent="0.3">
      <c r="A46" s="2">
        <v>7</v>
      </c>
      <c r="B46" s="2">
        <v>8</v>
      </c>
      <c r="C46" s="2">
        <v>0.88572117228184111</v>
      </c>
      <c r="D46" s="2">
        <v>2</v>
      </c>
      <c r="E46" s="2" t="s">
        <v>23</v>
      </c>
      <c r="F46" s="2">
        <v>2</v>
      </c>
      <c r="G46" s="2" t="s">
        <v>23</v>
      </c>
    </row>
    <row r="47" spans="1:7" x14ac:dyDescent="0.3">
      <c r="A47" s="2">
        <v>9</v>
      </c>
      <c r="B47" s="2">
        <v>8</v>
      </c>
      <c r="C47" s="2">
        <v>0.93309951704219563</v>
      </c>
      <c r="D47" s="2">
        <v>2</v>
      </c>
      <c r="E47" s="2" t="s">
        <v>23</v>
      </c>
      <c r="F47" s="2">
        <v>2</v>
      </c>
      <c r="G47" s="2" t="s">
        <v>23</v>
      </c>
    </row>
    <row r="48" spans="1:7" x14ac:dyDescent="0.3">
      <c r="A48" s="2">
        <v>5</v>
      </c>
      <c r="B48" s="2">
        <v>9</v>
      </c>
      <c r="C48" s="2">
        <v>0.80480739916727961</v>
      </c>
      <c r="D48" s="2">
        <v>1</v>
      </c>
      <c r="E48" s="2" t="s">
        <v>40</v>
      </c>
      <c r="F48" s="2">
        <v>1</v>
      </c>
      <c r="G48" s="2" t="s">
        <v>40</v>
      </c>
    </row>
    <row r="49" spans="1:7" x14ac:dyDescent="0.3">
      <c r="A49" s="2">
        <v>9</v>
      </c>
      <c r="B49" s="2">
        <v>8</v>
      </c>
      <c r="C49" s="2">
        <v>0.93631359157209348</v>
      </c>
      <c r="D49" s="2">
        <v>2</v>
      </c>
      <c r="E49" s="2" t="s">
        <v>23</v>
      </c>
      <c r="F49" s="2">
        <v>2</v>
      </c>
      <c r="G49" s="2" t="s">
        <v>23</v>
      </c>
    </row>
    <row r="50" spans="1:7" x14ac:dyDescent="0.3">
      <c r="A50" s="2">
        <v>3</v>
      </c>
      <c r="B50" s="2">
        <v>1</v>
      </c>
      <c r="C50" s="2">
        <v>0.51195151307116538</v>
      </c>
      <c r="D50" s="2">
        <v>0</v>
      </c>
      <c r="E50" s="2" t="s">
        <v>39</v>
      </c>
      <c r="F50" s="2">
        <v>0</v>
      </c>
      <c r="G50" s="2" t="s">
        <v>39</v>
      </c>
    </row>
    <row r="51" spans="1:7" x14ac:dyDescent="0.3">
      <c r="A51" s="2">
        <v>9</v>
      </c>
      <c r="B51" s="2">
        <v>6</v>
      </c>
      <c r="C51" s="2">
        <v>0.63579761012978198</v>
      </c>
      <c r="D51" s="2">
        <v>2</v>
      </c>
      <c r="E51" s="2" t="s">
        <v>23</v>
      </c>
      <c r="F51" s="2">
        <v>2</v>
      </c>
      <c r="G51" s="2" t="s">
        <v>23</v>
      </c>
    </row>
    <row r="52" spans="1:7" x14ac:dyDescent="0.3">
      <c r="A52" s="2">
        <v>5</v>
      </c>
      <c r="B52" s="2">
        <v>6</v>
      </c>
      <c r="C52" s="2">
        <v>0.63860979134714757</v>
      </c>
      <c r="D52" s="2">
        <v>1</v>
      </c>
      <c r="E52" s="2" t="s">
        <v>40</v>
      </c>
      <c r="F52" s="2">
        <v>1</v>
      </c>
      <c r="G52" s="2" t="s">
        <v>40</v>
      </c>
    </row>
    <row r="53" spans="1:7" x14ac:dyDescent="0.3">
      <c r="A53" s="2">
        <v>5</v>
      </c>
      <c r="B53" s="2">
        <v>2</v>
      </c>
      <c r="C53" s="2">
        <v>0.56031621415307908</v>
      </c>
      <c r="D53" s="2">
        <v>0</v>
      </c>
      <c r="E53" s="2" t="s">
        <v>39</v>
      </c>
      <c r="F53" s="2">
        <v>0</v>
      </c>
      <c r="G53" s="2" t="s">
        <v>39</v>
      </c>
    </row>
    <row r="54" spans="1:7" x14ac:dyDescent="0.3">
      <c r="A54" s="2">
        <v>7</v>
      </c>
      <c r="B54" s="2">
        <v>6</v>
      </c>
      <c r="C54" s="2">
        <v>0.95535672714411912</v>
      </c>
      <c r="D54" s="2">
        <v>1</v>
      </c>
      <c r="E54" s="2" t="s">
        <v>40</v>
      </c>
      <c r="F54" s="2">
        <v>1</v>
      </c>
      <c r="G54" s="2" t="s">
        <v>40</v>
      </c>
    </row>
    <row r="55" spans="1:7" x14ac:dyDescent="0.3">
      <c r="A55" s="2">
        <v>7</v>
      </c>
      <c r="B55" s="2">
        <v>8</v>
      </c>
      <c r="C55" s="2">
        <v>0.51521963333281162</v>
      </c>
      <c r="D55" s="2">
        <v>2</v>
      </c>
      <c r="E55" s="2" t="s">
        <v>23</v>
      </c>
      <c r="F55" s="2">
        <v>1</v>
      </c>
      <c r="G55" s="2" t="s">
        <v>40</v>
      </c>
    </row>
    <row r="56" spans="1:7" x14ac:dyDescent="0.3">
      <c r="A56" s="2">
        <v>5</v>
      </c>
      <c r="B56" s="2">
        <v>9</v>
      </c>
      <c r="C56" s="2">
        <v>0.83628051476105636</v>
      </c>
      <c r="D56" s="2">
        <v>1</v>
      </c>
      <c r="E56" s="2" t="s">
        <v>40</v>
      </c>
      <c r="F56" s="2">
        <v>1</v>
      </c>
      <c r="G56" s="2" t="s">
        <v>40</v>
      </c>
    </row>
    <row r="57" spans="1:7" x14ac:dyDescent="0.3">
      <c r="A57" s="2">
        <v>1</v>
      </c>
      <c r="B57" s="2">
        <v>9</v>
      </c>
      <c r="C57" s="2">
        <v>0.53566984362860359</v>
      </c>
      <c r="D57" s="2">
        <v>0</v>
      </c>
      <c r="E57" s="2" t="s">
        <v>39</v>
      </c>
      <c r="F57" s="2">
        <v>0</v>
      </c>
      <c r="G57" s="2" t="s">
        <v>39</v>
      </c>
    </row>
    <row r="58" spans="1:7" x14ac:dyDescent="0.3">
      <c r="A58" s="2">
        <v>3</v>
      </c>
      <c r="B58" s="2">
        <v>2</v>
      </c>
      <c r="C58" s="2">
        <v>0.68039024689261063</v>
      </c>
      <c r="D58" s="2">
        <v>0</v>
      </c>
      <c r="E58" s="2" t="s">
        <v>39</v>
      </c>
      <c r="F58" s="2">
        <v>0</v>
      </c>
      <c r="G58" s="2" t="s">
        <v>39</v>
      </c>
    </row>
    <row r="59" spans="1:7" x14ac:dyDescent="0.3">
      <c r="A59" s="2">
        <v>9</v>
      </c>
      <c r="B59" s="2">
        <v>4</v>
      </c>
      <c r="C59" s="2">
        <v>0.70904977133878289</v>
      </c>
      <c r="D59" s="2">
        <v>1</v>
      </c>
      <c r="E59" s="2" t="s">
        <v>40</v>
      </c>
      <c r="F59" s="2">
        <v>2</v>
      </c>
      <c r="G59" s="2" t="s">
        <v>23</v>
      </c>
    </row>
    <row r="60" spans="1:7" x14ac:dyDescent="0.3">
      <c r="A60" s="2">
        <v>7</v>
      </c>
      <c r="B60" s="2">
        <v>8</v>
      </c>
      <c r="C60" s="2">
        <v>0.59070214452868353</v>
      </c>
      <c r="D60" s="2">
        <v>2</v>
      </c>
      <c r="E60" s="2" t="s">
        <v>23</v>
      </c>
      <c r="F60" s="2">
        <v>2</v>
      </c>
      <c r="G60" s="2" t="s">
        <v>23</v>
      </c>
    </row>
    <row r="61" spans="1:7" x14ac:dyDescent="0.3">
      <c r="A61" s="2">
        <v>7</v>
      </c>
      <c r="B61" s="2">
        <v>2</v>
      </c>
      <c r="C61" s="2">
        <v>0.76050705164108812</v>
      </c>
      <c r="D61" s="2">
        <v>0</v>
      </c>
      <c r="E61" s="2" t="s">
        <v>39</v>
      </c>
      <c r="F61" s="2">
        <v>0</v>
      </c>
      <c r="G61" s="2" t="s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defaultRowHeight="14.4" x14ac:dyDescent="0.3"/>
  <cols>
    <col min="1" max="1" width="24.77734375" customWidth="1"/>
    <col min="2" max="2" width="10.77734375" customWidth="1"/>
    <col min="6" max="6" width="10.6640625" customWidth="1"/>
  </cols>
  <sheetData>
    <row r="1" spans="1:6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41</v>
      </c>
      <c r="F1" s="1" t="s">
        <v>42</v>
      </c>
    </row>
    <row r="2" spans="1:6" x14ac:dyDescent="0.3">
      <c r="A2" t="s">
        <v>5</v>
      </c>
      <c r="B2">
        <v>7</v>
      </c>
      <c r="C2">
        <v>8</v>
      </c>
      <c r="D2">
        <v>0.9</v>
      </c>
      <c r="E2" t="s">
        <v>23</v>
      </c>
      <c r="F2">
        <v>0.81977800759742858</v>
      </c>
    </row>
    <row r="3" spans="1:6" x14ac:dyDescent="0.3">
      <c r="A3" t="s">
        <v>30</v>
      </c>
      <c r="B3">
        <v>5</v>
      </c>
      <c r="C3">
        <v>6</v>
      </c>
      <c r="D3">
        <v>1</v>
      </c>
      <c r="E3" t="s">
        <v>40</v>
      </c>
      <c r="F3">
        <v>0.80738296090734196</v>
      </c>
    </row>
    <row r="4" spans="1:6" x14ac:dyDescent="0.3">
      <c r="A4" t="s">
        <v>31</v>
      </c>
      <c r="B4">
        <v>5</v>
      </c>
      <c r="C4">
        <v>9</v>
      </c>
      <c r="D4">
        <v>0.9</v>
      </c>
      <c r="E4" t="s">
        <v>40</v>
      </c>
      <c r="F4">
        <v>0.6353542796916567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tabSelected="1" workbookViewId="0">
      <selection activeCell="F15" sqref="F15"/>
    </sheetView>
  </sheetViews>
  <sheetFormatPr defaultRowHeight="14.4" x14ac:dyDescent="0.3"/>
  <cols>
    <col min="2" max="2" width="24.33203125" customWidth="1"/>
    <col min="3" max="3" width="19.88671875" customWidth="1"/>
    <col min="4" max="4" width="9.44140625" customWidth="1"/>
    <col min="7" max="7" width="13.88671875" customWidth="1"/>
    <col min="8" max="8" width="19.88671875" customWidth="1"/>
    <col min="9" max="9" width="16.5546875" customWidth="1"/>
    <col min="10" max="10" width="18.21875" customWidth="1"/>
    <col min="11" max="11" width="15.21875" customWidth="1"/>
    <col min="12" max="12" width="13.6640625" customWidth="1"/>
    <col min="13" max="13" width="16.44140625" customWidth="1"/>
    <col min="14" max="14" width="15.44140625" customWidth="1"/>
    <col min="15" max="15" width="16.88671875" customWidth="1"/>
  </cols>
  <sheetData>
    <row r="1" spans="1:15" x14ac:dyDescent="0.3">
      <c r="A1" s="1" t="s">
        <v>43</v>
      </c>
      <c r="B1" s="1" t="s">
        <v>44</v>
      </c>
      <c r="C1" s="1" t="s">
        <v>45</v>
      </c>
      <c r="D1" s="1" t="s">
        <v>75</v>
      </c>
      <c r="E1" s="1" t="s">
        <v>76</v>
      </c>
      <c r="F1" s="1" t="s">
        <v>4</v>
      </c>
      <c r="G1" s="1" t="s">
        <v>77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22</v>
      </c>
    </row>
    <row r="2" spans="1:15" x14ac:dyDescent="0.3">
      <c r="A2" t="s">
        <v>53</v>
      </c>
      <c r="B2" t="s">
        <v>5</v>
      </c>
      <c r="C2" t="s">
        <v>54</v>
      </c>
      <c r="D2" s="2">
        <v>7</v>
      </c>
      <c r="E2" s="2">
        <v>8</v>
      </c>
      <c r="F2" s="2">
        <v>56</v>
      </c>
      <c r="G2" t="s">
        <v>23</v>
      </c>
      <c r="H2" s="2">
        <v>2.7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23</v>
      </c>
      <c r="N2" s="2" t="s">
        <v>59</v>
      </c>
      <c r="O2" t="s">
        <v>24</v>
      </c>
    </row>
    <row r="3" spans="1:15" x14ac:dyDescent="0.3">
      <c r="A3" t="s">
        <v>60</v>
      </c>
      <c r="B3" t="s">
        <v>30</v>
      </c>
      <c r="C3" t="s">
        <v>61</v>
      </c>
      <c r="D3" s="2">
        <v>5</v>
      </c>
      <c r="E3" s="2">
        <v>6</v>
      </c>
      <c r="F3" s="2">
        <v>30</v>
      </c>
      <c r="G3" t="s">
        <v>62</v>
      </c>
      <c r="H3" s="2">
        <v>3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23</v>
      </c>
      <c r="N3" s="2" t="s">
        <v>67</v>
      </c>
      <c r="O3" t="s">
        <v>24</v>
      </c>
    </row>
    <row r="4" spans="1:15" x14ac:dyDescent="0.3">
      <c r="A4" t="s">
        <v>68</v>
      </c>
      <c r="B4" t="s">
        <v>31</v>
      </c>
      <c r="C4" t="s">
        <v>69</v>
      </c>
      <c r="D4" s="2">
        <v>5</v>
      </c>
      <c r="E4" s="2">
        <v>9</v>
      </c>
      <c r="F4" s="2">
        <v>45</v>
      </c>
      <c r="G4" t="s">
        <v>23</v>
      </c>
      <c r="H4" s="2">
        <v>2.7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23</v>
      </c>
      <c r="N4" s="2" t="s">
        <v>74</v>
      </c>
      <c r="O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I&amp;W Risk Table</vt:lpstr>
      <vt:lpstr> Heatmap</vt:lpstr>
      <vt:lpstr>IW_Composite_Scores</vt:lpstr>
      <vt:lpstr>Monte_Carlo_Results</vt:lpstr>
      <vt:lpstr>MC_Samples_1000rows</vt:lpstr>
      <vt:lpstr>ML_Training_Data</vt:lpstr>
      <vt:lpstr>ML_Focal_Predictions</vt:lpstr>
      <vt:lpstr>RTRP_Module4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Koushik Thotakura</cp:lastModifiedBy>
  <dcterms:created xsi:type="dcterms:W3CDTF">2026-03-21T00:59:40Z</dcterms:created>
  <dcterms:modified xsi:type="dcterms:W3CDTF">2026-03-29T23:58:34Z</dcterms:modified>
</cp:coreProperties>
</file>